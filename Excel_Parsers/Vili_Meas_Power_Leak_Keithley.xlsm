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D288E265-7817-443C-8F1C-AF3BBDFCDB31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67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2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337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<sst xmlns="http://schemas.openxmlformats.org/spreadsheetml/2006/main" count="10" uniqueCount="10">
  <si>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Vdd</t>
  </si>
  <si>
    <t>Vdd18</t>
  </si>
  <si>
    <t>Part Number</t>
  </si>
  <si>
    <t>Temp</t>
  </si>
  <si>
    <t>Values</t>
  </si>
  <si>
    <t>(All)</t>
  </si>
  <si>
    <t>Average of Idd Leak</t>
  </si>
  <si>
    <t>Average of Idd18 Leak</t>
  </si>
  <si>
    <t>Average of IddIO Leak</t>
  </si>
  <si>
    <t>Q0128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</si>
</sst>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[Vili_Meas_Power_Leak_Keithley.xlsm]Pivot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Standby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Table'!$D$4:$D$5</c:f>
              <c:strCache>
                <c:ptCount val="1"/>
                <c:pt idx="0">
                  <c:v>Average of Idd Leak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Table'!$D$6:$D$11</c:f>
              <c:numCache>
                <c:formatCode>General</c:formatCode>
                <c:ptCount val="3"/>
                <c:pt idx="0">
                  <c:v>-3.3657673280000003E-8</c:v>
                </c:pt>
                <c:pt idx="1">
                  <c:v>4.1903836051999998E-8</c:v>
                </c:pt>
                <c:pt idx="2">
                  <c:v>3.7363788199999899E-7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0-4703-B23C-5E39EB1B42B8}"/>
            </c:ext>
          </c:extLst>
        </c:ser>
        <c:ser>
          <c:idx val="1"/>
          <c:order val="1"/>
          <c:tx>
            <c:strRef>
              <c:f>'Pivot Table'!$E$4:$E$5</c:f>
              <c:strCache>
                <c:ptCount val="1"/>
                <c:pt idx="0">
                  <c:v>Average of Idd18 Leak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Table'!$E$6:$E$11</c:f>
              <c:numCache>
                <c:formatCode>General</c:formatCode>
                <c:ptCount val="3"/>
                <c:pt idx="0">
                  <c:v>4.0754219999999998E-5</c:v>
                </c:pt>
                <c:pt idx="1">
                  <c:v>8.4163789099999997E-5</c:v>
                </c:pt>
                <c:pt idx="2">
                  <c:v>2.03208332E-4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A0-4703-B23C-5E39EB1B42B8}"/>
            </c:ext>
          </c:extLst>
        </c:ser>
        <c:ser>
          <c:idx val="2"/>
          <c:order val="2"/>
          <c:tx>
            <c:strRef>
              <c:f>'Pivot Table'!$F$4:$F$5</c:f>
              <c:strCache>
                <c:ptCount val="1"/>
                <c:pt idx="0">
                  <c:v>Average of IddIO Leak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Table'!$F$6:$F$11</c:f>
              <c:numCache>
                <c:formatCode>General</c:formatCode>
                <c:ptCount val="3"/>
                <c:pt idx="0">
                  <c:v>4.5053999900000001E-5</c:v>
                </c:pt>
                <c:pt idx="1">
                  <c:v>4.5021111499999902E-5</c:v>
                </c:pt>
                <c:pt idx="2">
                  <c:v>4.5117232900000001E-5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A0-4703-B23C-5E39EB1B4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1333359"/>
        <c:axId val="1300351599"/>
      </c:lineChart>
      <c:catAx>
        <c:axId val="1291333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351599"/>
        <c:crosses val="autoZero"/>
        <c:auto val="1"/>
        <c:lblAlgn val="ctr"/>
        <c:lblOffset val="100"/>
        <c:noMultiLvlLbl val="0"/>
      </c:catAx>
      <c:valAx>
        <c:axId val="1300351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333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</xdr:row>
      <xdr:rowOff>127000</xdr:rowOff>
    </xdr:from>
    <xdr:to>
      <xdr:col>26</xdr:col>
      <xdr:colOff>292100</xdr:colOff>
      <xdr:row>34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7C54AD-5186-9B7C-B3D1-165A2DC757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514829050924" createdVersion="3" refreshedVersion="8" minRefreshableVersion="3" recordCount="12" xr:uid="{4C2F2628-FB63-46BB-A69F-CDF73DD7AE94}">
  <cacheSource type="worksheet">
    <worksheetSource ref="A1:M13" sheet="Data"/>
  </cacheSource>
  <cacheFields count="13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ddIO" numFmtId="0">
      <sharedItems containsSemiMixedTypes="0" containsString="0" containsNumber="1" minValue="0.5" maxValue="1.5" count="2">
        <n v="0.5"/>
        <n v="1.5"/>
      </sharedItems>
    </cacheField>
    <cacheField name="Vdd Meas" numFmtId="0">
      <sharedItems containsSemiMixedTypes="0" containsString="0" containsNumber="1" minValue="0.71970422000000001" maxValue="0.87950706999999995" count="12">
        <n v="0.71973147000000004"/>
        <n v="0.79938027"/>
        <n v="0.8794535"/>
        <n v="0.71975734999999996"/>
        <n v="0.71970422000000001"/>
        <n v="0.71976882999999903"/>
        <n v="0.79938302999999999"/>
        <n v="0.79940840999999996"/>
        <n v="0.79936624000000001"/>
        <n v="0.87950706999999995"/>
        <n v="0.87949854000000005"/>
        <n v="0.87949115999999905"/>
      </sharedItems>
    </cacheField>
    <cacheField name="Idd Leak" numFmtId="11">
      <sharedItems containsSemiMixedTypes="0" containsString="0" containsNumber="1" minValue="-3.3657673280000003E-8" maxValue="3.7363788199999899E-7" count="12">
        <n v="-3.3657673280000003E-8"/>
        <n v="4.1903836051999998E-8"/>
        <n v="3.7363788199999899E-7"/>
        <n v="-4.50068049999999E-9"/>
        <n v="1.5382811894999998E-8"/>
        <n v="6.63050248699999E-9"/>
        <n v="1.01074061616E-7"/>
        <n v="1.022493159E-7"/>
        <n v="8.0916527260000006E-8"/>
        <n v="3.2847449599999897E-7"/>
        <n v="3.3814408300000002E-7"/>
        <n v="3.0961328799999999E-7"/>
      </sharedItems>
    </cacheField>
    <cacheField name="Vdd18 Meas" numFmtId="0">
      <sharedItems containsSemiMixedTypes="0" containsString="0" containsNumber="1" minValue="1.6197417999999999" maxValue="1.9800527999999999" count="12">
        <n v="1.6197417999999999"/>
        <n v="1.79993109999999"/>
        <n v="1.9798347999999999"/>
        <n v="1.6199265999999899"/>
        <n v="1.8000696"/>
        <n v="1.9800013999999999"/>
        <n v="1.6199424999999901"/>
        <n v="1.8001099999999901"/>
        <n v="1.9800527999999999"/>
        <n v="1.61996599999999"/>
        <n v="1.8001174"/>
        <n v="1.9800291000000001"/>
      </sharedItems>
    </cacheField>
    <cacheField name="Idd18 Leak" numFmtId="0">
      <sharedItems containsSemiMixedTypes="0" containsString="0" containsNumber="1" minValue="4.0754219999999998E-5" maxValue="2.3903774200000001E-4" count="12">
        <n v="4.0754219999999998E-5"/>
        <n v="8.4163789099999997E-5"/>
        <n v="2.03208332E-4"/>
        <n v="5.761186E-5"/>
        <n v="1.1701395099999999E-4"/>
        <n v="2.3903774200000001E-4"/>
        <n v="5.6576040499999901E-5"/>
        <n v="1.15511915999999E-4"/>
        <n v="2.3718408699999901E-4"/>
        <n v="5.5671682599999903E-5"/>
        <n v="1.13826438E-4"/>
        <n v="2.35083031999999E-4"/>
      </sharedItems>
    </cacheField>
    <cacheField name="VddIO Meas" numFmtId="0">
      <sharedItems containsSemiMixedTypes="0" containsString="0" containsNumber="1" minValue="0.49970205000000001" maxValue="1.5001226000000001" count="12">
        <n v="0.49970205000000001"/>
        <n v="0.49971884999999999"/>
        <n v="0.49970932000000001"/>
        <n v="1.5000685999999901"/>
        <n v="1.5000785000000001"/>
        <n v="1.5000708999999901"/>
        <n v="1.5001226000000001"/>
        <n v="1.5000730999999901"/>
        <n v="1.5000713000000001"/>
        <n v="1.5000594"/>
        <n v="1.50007939999999"/>
        <n v="1.5000651"/>
      </sharedItems>
    </cacheField>
    <cacheField name="IddIO Leak" numFmtId="0">
      <sharedItems containsSemiMixedTypes="0" containsString="0" containsNumber="1" minValue="4.5021111499999902E-5" maxValue="1.09427196E-3" count="12">
        <n v="4.5053999900000001E-5"/>
        <n v="4.5021111499999902E-5"/>
        <n v="4.5117232900000001E-5"/>
        <n v="9.9952839399999991E-4"/>
        <n v="9.9975939099999998E-4"/>
        <n v="9.9939050099999991E-4"/>
        <n v="1.05304964E-3"/>
        <n v="1.0529332199999901E-3"/>
        <n v="1.0538346399999901E-3"/>
        <n v="1.0907025800000001E-3"/>
        <n v="1.09427196E-3"/>
        <n v="1.09384294999999E-3"/>
      </sharedItems>
    </cacheField>
    <cacheField name="Lot Bin Wafer" numFmtId="0">
      <sharedItems count="1">
        <s v="P9KT98.AC_a_0"/>
      </sharedItems>
    </cacheField>
    <cacheField name="Part Number" numFmtId="0">
      <sharedItems count="2">
        <s v="Q0128"/>
        <s v="Q0134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4" maxValue="231207" count="2">
        <n v="231207"/>
        <n v="23120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  <x v="0"/>
    <x v="0"/>
    <x v="0"/>
    <x v="0"/>
  </r>
  <r>
    <x v="2"/>
    <x v="2"/>
    <x v="0"/>
    <x v="2"/>
    <x v="2"/>
    <x v="2"/>
    <x v="2"/>
    <x v="2"/>
    <x v="2"/>
    <x v="0"/>
    <x v="0"/>
    <x v="0"/>
    <x v="0"/>
  </r>
  <r>
    <x v="0"/>
    <x v="0"/>
    <x v="1"/>
    <x v="3"/>
    <x v="3"/>
    <x v="3"/>
    <x v="3"/>
    <x v="3"/>
    <x v="3"/>
    <x v="0"/>
    <x v="1"/>
    <x v="0"/>
    <x v="1"/>
  </r>
  <r>
    <x v="0"/>
    <x v="1"/>
    <x v="1"/>
    <x v="4"/>
    <x v="4"/>
    <x v="4"/>
    <x v="4"/>
    <x v="4"/>
    <x v="4"/>
    <x v="0"/>
    <x v="1"/>
    <x v="0"/>
    <x v="1"/>
  </r>
  <r>
    <x v="0"/>
    <x v="2"/>
    <x v="1"/>
    <x v="5"/>
    <x v="5"/>
    <x v="5"/>
    <x v="5"/>
    <x v="5"/>
    <x v="5"/>
    <x v="0"/>
    <x v="1"/>
    <x v="0"/>
    <x v="1"/>
  </r>
  <r>
    <x v="1"/>
    <x v="0"/>
    <x v="1"/>
    <x v="6"/>
    <x v="6"/>
    <x v="6"/>
    <x v="6"/>
    <x v="6"/>
    <x v="6"/>
    <x v="0"/>
    <x v="1"/>
    <x v="0"/>
    <x v="1"/>
  </r>
  <r>
    <x v="1"/>
    <x v="1"/>
    <x v="1"/>
    <x v="7"/>
    <x v="7"/>
    <x v="7"/>
    <x v="7"/>
    <x v="7"/>
    <x v="7"/>
    <x v="0"/>
    <x v="1"/>
    <x v="0"/>
    <x v="1"/>
  </r>
  <r>
    <x v="1"/>
    <x v="2"/>
    <x v="1"/>
    <x v="8"/>
    <x v="8"/>
    <x v="8"/>
    <x v="8"/>
    <x v="8"/>
    <x v="8"/>
    <x v="0"/>
    <x v="1"/>
    <x v="0"/>
    <x v="1"/>
  </r>
  <r>
    <x v="2"/>
    <x v="0"/>
    <x v="1"/>
    <x v="9"/>
    <x v="9"/>
    <x v="9"/>
    <x v="9"/>
    <x v="9"/>
    <x v="9"/>
    <x v="0"/>
    <x v="1"/>
    <x v="0"/>
    <x v="1"/>
  </r>
  <r>
    <x v="2"/>
    <x v="1"/>
    <x v="1"/>
    <x v="10"/>
    <x v="10"/>
    <x v="10"/>
    <x v="10"/>
    <x v="10"/>
    <x v="10"/>
    <x v="0"/>
    <x v="1"/>
    <x v="0"/>
    <x v="1"/>
  </r>
  <r>
    <x v="2"/>
    <x v="2"/>
    <x v="1"/>
    <x v="11"/>
    <x v="11"/>
    <x v="11"/>
    <x v="11"/>
    <x v="11"/>
    <x v="11"/>
    <x v="0"/>
    <x v="1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B4D0DE-44E9-4079-8569-9F3C13402DF2}" name="DataPivotTable" cacheId="337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4:F11" firstHeaderRow="1" firstDataRow="2" firstDataCol="2" rowPageCount="2" colPageCount="1"/>
  <pivotFields count="13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2">
        <item x="0"/>
        <item x="1"/>
      </items>
    </pivotField>
    <pivotField compact="0" showAll="0" defaultSubtotal="0">
      <items count="12">
        <item x="4"/>
        <item x="0"/>
        <item x="3"/>
        <item x="5"/>
        <item x="8"/>
        <item x="1"/>
        <item x="6"/>
        <item x="7"/>
        <item x="2"/>
        <item x="11"/>
        <item x="10"/>
        <item x="9"/>
      </items>
    </pivotField>
    <pivotField dataField="1" compact="0" numFmtId="11" showAll="0" defaultSubtotal="0">
      <items count="12">
        <item x="0"/>
        <item x="3"/>
        <item x="5"/>
        <item x="4"/>
        <item x="1"/>
        <item x="8"/>
        <item x="6"/>
        <item x="7"/>
        <item x="11"/>
        <item x="9"/>
        <item x="10"/>
        <item x="2"/>
      </items>
    </pivotField>
    <pivotField compact="0" showAll="0" defaultSubtotal="0">
      <items count="12">
        <item x="0"/>
        <item x="3"/>
        <item x="6"/>
        <item x="9"/>
        <item x="1"/>
        <item x="4"/>
        <item x="7"/>
        <item x="10"/>
        <item x="2"/>
        <item x="5"/>
        <item x="11"/>
        <item x="8"/>
      </items>
    </pivotField>
    <pivotField dataField="1" compact="0" showAll="0" defaultSubtotal="0">
      <items count="12">
        <item x="0"/>
        <item x="9"/>
        <item x="6"/>
        <item x="3"/>
        <item x="1"/>
        <item x="10"/>
        <item x="7"/>
        <item x="4"/>
        <item x="2"/>
        <item x="11"/>
        <item x="8"/>
        <item x="5"/>
      </items>
    </pivotField>
    <pivotField compact="0" showAll="0" defaultSubtotal="0">
      <items count="12">
        <item x="0"/>
        <item x="2"/>
        <item x="1"/>
        <item x="9"/>
        <item x="11"/>
        <item x="3"/>
        <item x="5"/>
        <item x="8"/>
        <item x="7"/>
        <item x="4"/>
        <item x="10"/>
        <item x="6"/>
      </items>
    </pivotField>
    <pivotField dataField="1" compact="0" showAll="0" defaultSubtotal="0">
      <items count="12">
        <item x="1"/>
        <item x="0"/>
        <item x="2"/>
        <item x="5"/>
        <item x="3"/>
        <item x="4"/>
        <item x="7"/>
        <item x="6"/>
        <item x="8"/>
        <item x="9"/>
        <item x="11"/>
        <item x="10"/>
      </items>
    </pivotField>
    <pivotField compact="0" showAll="0" defaultSubtotal="0">
      <items count="1">
        <item x="0"/>
      </items>
    </pivotField>
    <pivotField axis="axisPage" compact="0" showAll="0" defaultSubtotal="0">
      <items count="2">
        <item x="0"/>
        <item x="1"/>
      </items>
    </pivotField>
    <pivotField axis="axisPage" compact="0" showAll="0" defaultSubtotal="0">
      <items count="1">
        <item x="0"/>
      </items>
    </pivotField>
    <pivotField compact="0" showAll="0" defaultSubtotal="0">
      <items count="2">
        <item x="1"/>
        <item x="0"/>
      </items>
    </pivotField>
  </pivotFields>
  <rowFields count="2">
    <field x="0"/>
    <field x="1"/>
  </rowFields>
  <rowItems count="6">
    <i>
      <x/>
    </i>
    <i r="1">
      <x/>
    </i>
    <i>
      <x v="1"/>
    </i>
    <i r="1">
      <x v="1"/>
    </i>
    <i>
      <x v="2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2">
    <pageField fld="10" item="0" hier="-1"/>
    <pageField fld="11" hier="-1"/>
  </pageFields>
  <dataFields count="3">
    <dataField name="Average of Idd Leak" fld="4" subtotal="average" baseField="0" baseItem="0"/>
    <dataField name="Average of Idd18 Leak" fld="6" subtotal="average" baseField="0" baseItem="0"/>
    <dataField name="Average of IddIO Leak" fld="8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433E4-C017-4324-ABD9-9F70B1A6D0E5}">
  <sheetPr codeName="Sheet1"/>
  <dimension ref="B1:F11"/>
  <sheetViews>
    <sheetView workbookViewId="0"/>
  </sheetViews>
  <sheetFormatPr defaultRowHeight="15" x14ac:dyDescent="0.25"/>
  <cols>
    <col min="2" max="2" width="13.140625" bestFit="1" customWidth="1"/>
    <col min="3" max="3" width="8.85546875" bestFit="1" customWidth="1"/>
    <col min="4" max="4" width="18.5703125" bestFit="1" customWidth="1"/>
    <col min="5" max="6" width="20.5703125" bestFit="1" customWidth="1"/>
  </cols>
  <sheetData>
    <row r="1" spans="2:6" x14ac:dyDescent="0.25">
      <c r="B1" s="1" t="s">
        <v>2</v>
      </c>
      <c r="C1" t="s">
        <v>9</v>
      </c>
    </row>
    <row r="2" spans="2:6" x14ac:dyDescent="0.25">
      <c r="B2" s="1" t="s">
        <v>3</v>
      </c>
      <c r="C2" t="s">
        <v>5</v>
      </c>
    </row>
    <row r="4" spans="2:6" x14ac:dyDescent="0.25">
      <c r="D4" s="1" t="s">
        <v>4</v>
      </c>
    </row>
    <row r="5" spans="2:6" x14ac:dyDescent="0.25">
      <c r="B5" s="1" t="s">
        <v>0</v>
      </c>
      <c r="C5" s="1" t="s">
        <v>1</v>
      </c>
      <c r="D5" t="s">
        <v>6</v>
      </c>
      <c r="E5" t="s">
        <v>7</v>
      </c>
      <c r="F5" t="s">
        <v>8</v>
      </c>
    </row>
    <row r="6" spans="2:6" x14ac:dyDescent="0.25">
      <c r="B6">
        <v>0.72</v>
      </c>
      <c r="D6" s="2"/>
      <c r="E6" s="2"/>
      <c r="F6" s="2"/>
    </row>
    <row r="7" spans="2:6" x14ac:dyDescent="0.25">
      <c r="C7">
        <v>1.62</v>
      </c>
      <c r="D7" s="2">
        <v>-3.3657673280000003E-8</v>
      </c>
      <c r="E7" s="2">
        <v>4.0754219999999998E-5</v>
      </c>
      <c r="F7" s="2">
        <v>4.5053999900000001E-5</v>
      </c>
    </row>
    <row r="8" spans="2:6" x14ac:dyDescent="0.25">
      <c r="B8">
        <v>0.8</v>
      </c>
      <c r="D8" s="2"/>
      <c r="E8" s="2"/>
      <c r="F8" s="2"/>
    </row>
    <row r="9" spans="2:6" x14ac:dyDescent="0.25">
      <c r="C9">
        <v>1.8</v>
      </c>
      <c r="D9" s="2">
        <v>4.1903836051999998E-8</v>
      </c>
      <c r="E9" s="2">
        <v>8.4163789099999997E-5</v>
      </c>
      <c r="F9" s="2">
        <v>4.5021111499999902E-5</v>
      </c>
    </row>
    <row r="10" spans="2:6" x14ac:dyDescent="0.25">
      <c r="B10">
        <v>0.88</v>
      </c>
      <c r="D10" s="2"/>
      <c r="E10" s="2"/>
      <c r="F10" s="2"/>
    </row>
    <row r="11" spans="2:6" x14ac:dyDescent="0.25">
      <c r="C11">
        <v>1.98</v>
      </c>
      <c r="D11" s="2">
        <v>3.7363788199999899E-7</v>
      </c>
      <c r="E11" s="2">
        <v>2.03208332E-4</v>
      </c>
      <c r="F11" s="2">
        <v>4.5117232900000001E-5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E8" sqref="E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2023-12-07T21:31:34Z</dcterms:modified>
</cp:coreProperties>
</file>