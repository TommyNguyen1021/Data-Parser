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an Shin\Documents\TEST\Data-Parser\Excel_Parsers\"/>
    </mc:Choice>
  </mc:AlternateContent>
  <xr:revisionPtr revIDLastSave="0" documentId="13_ncr:1_{5E72F72A-9E46-4E7D-98FB-4FF751C7E8C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<sst xmlns="http://schemas.openxmlformats.org/spreadsheetml/2006/main" count="10" uniqueCount="9">
  <si>
    <t>Part Number</t>
  </si>
  <si>
    <t>Temp</t>
  </si>
  <si>
    <t>Values</t>
  </si>
  <si>
    <t>(All)</t>
  </si>
  <si>
    <t>Vdd[V]</t>
  </si>
  <si>
    <t>Vdd18[V]</t>
  </si>
  <si>
    <t>Average of Idd Standby[mA]</t>
  </si>
  <si>
    <t>Average of Idd18 Standby[mA]</t>
  </si>
  <si>
    <t>Average of IddIO Standby[mA]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</si>
</sst>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[Vili_Meas_Standby.xlsm]Pivot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Standby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 Standby[mA]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0.1242869090909091</c:v>
                </c:pt>
                <c:pt idx="1">
                  <c:v>0.13924800000000001</c:v>
                </c:pt>
                <c:pt idx="2">
                  <c:v>0.16160136363636363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5-4142-9BF5-28F0D3C0C58A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 Standby[mA]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0.22324072727272723</c:v>
                </c:pt>
                <c:pt idx="1">
                  <c:v>0.29299495454545449</c:v>
                </c:pt>
                <c:pt idx="2">
                  <c:v>0.41431209090909094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5-4142-9BF5-28F0D3C0C58A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 Standby[mA]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0.99550172727272712</c:v>
                </c:pt>
                <c:pt idx="1">
                  <c:v>1.0329099999999998</c:v>
                </c:pt>
                <c:pt idx="2">
                  <c:v>1.0686867727272726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25-4142-9BF5-28F0D3C0C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010400"/>
        <c:axId val="667032000"/>
      </c:lineChart>
      <c:catAx>
        <c:axId val="6670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032000"/>
        <c:crosses val="autoZero"/>
        <c:auto val="1"/>
        <c:lblAlgn val="ctr"/>
        <c:lblOffset val="100"/>
        <c:noMultiLvlLbl val="0"/>
      </c:catAx>
      <c:valAx>
        <c:axId val="66703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0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0</xdr:rowOff>
    </xdr:from>
    <xdr:to>
      <xdr:col>22</xdr:col>
      <xdr:colOff>469900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36BAA9-5DF9-07E0-743B-547528BC8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 Shin" refreshedDate="45476.573556365744" createdVersion="3" refreshedVersion="8" minRefreshableVersion="3" recordCount="66" xr:uid="{7BFE7539-D9A2-48A8-91DA-02B290AEE515}">
  <cacheSource type="worksheet">
    <worksheetSource ref="A1:S67" sheet="Data"/>
  </cacheSource>
  <cacheFields count="17">
    <cacheField name="Vdd[V]" numFmtId="0">
      <sharedItems containsSemiMixedTypes="0" containsString="0" containsNumber="1" minValue="0.72" maxValue="0.88" count="3">
        <n v="0.72"/>
        <n v="0.8"/>
        <n v="0.88"/>
      </sharedItems>
    </cacheField>
    <cacheField name="Vdd18[V]" numFmtId="0">
      <sharedItems containsSemiMixedTypes="0" containsString="0" containsNumber="1" minValue="1.62" maxValue="1.98" count="3">
        <n v="1.62"/>
        <n v="1.8"/>
        <n v="1.98"/>
      </sharedItems>
    </cacheField>
    <cacheField name="VddIO[V]" numFmtId="0">
      <sharedItems containsSemiMixedTypes="0" containsString="0" containsNumber="1" minValue="1.5" maxValue="1.5" count="1">
        <n v="1.5"/>
      </sharedItems>
    </cacheField>
    <cacheField name="Idd Offset[mA]" numFmtId="0">
      <sharedItems containsSemiMixedTypes="0" containsString="0" containsNumber="1" minValue="-0.38283499999999998" maxValue="-0.37609300000000001" count="3">
        <n v="-0.38283499999999998"/>
        <n v="-0.37842999999999999"/>
        <n v="-0.37609300000000001"/>
      </sharedItems>
    </cacheField>
    <cacheField name="Idd18 Offset[mA]" numFmtId="0">
      <sharedItems containsSemiMixedTypes="0" containsString="0" containsNumber="1" minValue="-0.41745700000000002" maxValue="-0.38772099999999998" count="3">
        <n v="-0.41745700000000002"/>
        <n v="-0.40216800000000003"/>
        <n v="-0.38772099999999998"/>
      </sharedItems>
    </cacheField>
    <cacheField name="IddIO Offset[mA]" numFmtId="0">
      <sharedItems containsSemiMixedTypes="0" containsString="0" containsNumber="1" minValue="-0.56286599999999998" maxValue="-0.51954999999999996" count="3">
        <n v="-0.51954999999999996"/>
        <n v="-0.53750399999999998"/>
        <n v="-0.56286599999999998"/>
      </sharedItems>
    </cacheField>
    <cacheField name="Idd Standby[mA]" numFmtId="0">
      <sharedItems containsSemiMixedTypes="0" containsString="0" containsNumber="1" minValue="9.8272999999999999E-2" maxValue="0.21353" count="66">
        <n v="0.12171"/>
        <n v="0.12961700000000001"/>
        <n v="0.14821799999999999"/>
        <n v="0.13539799999999999"/>
        <n v="0.146867"/>
        <n v="0.175343"/>
        <n v="0.112147"/>
        <n v="0.121367"/>
        <n v="0.14921799999999999"/>
        <n v="0.12046"/>
        <n v="0.13930500000000001"/>
        <n v="0.15146799999999999"/>
        <n v="0.17927299999999999"/>
        <n v="0.20668"/>
        <n v="0.21353"/>
        <n v="0.13220999999999999"/>
        <n v="0.128305"/>
        <n v="0.14515500000000001"/>
        <n v="0.13170999999999999"/>
        <n v="0.14130499999999999"/>
        <n v="0.16040499999999999"/>
        <n v="0.13589799999999999"/>
        <n v="0.14893000000000001"/>
        <n v="0.16959299999999999"/>
        <n v="9.8272999999999999E-2"/>
        <n v="0.113117"/>
        <n v="0.14221800000000001"/>
        <n v="0.10777299999999999"/>
        <n v="0.129742"/>
        <n v="0.14496800000000001"/>
        <n v="0.11533499999999999"/>
        <n v="0.14168"/>
        <n v="0.164718"/>
        <n v="0.13977300000000001"/>
        <n v="0.15849199999999999"/>
        <n v="0.17427999999999999"/>
        <n v="0.14427300000000001"/>
        <n v="0.15961700000000001"/>
        <n v="0.180843"/>
        <n v="0.118085"/>
        <n v="0.124555"/>
        <n v="0.143343"/>
        <n v="0.12745999999999999"/>
        <n v="0.14155499999999999"/>
        <n v="0.16459299999999999"/>
        <n v="0.10946"/>
        <n v="0.13155500000000001"/>
        <n v="0.15728"/>
        <n v="0.132523"/>
        <n v="0.15636800000000001"/>
        <n v="0.19209300000000001"/>
        <n v="0.13371"/>
        <n v="0.150367"/>
        <n v="0.18221799999999999"/>
        <n v="0.114148"/>
        <n v="0.129055"/>
        <n v="0.16034300000000001"/>
        <n v="0.110898"/>
        <n v="0.119117"/>
        <n v="0.134718"/>
        <n v="0.100897"/>
        <n v="0.107242"/>
        <n v="0.137655"/>
        <n v="0.112898"/>
        <n v="0.13861799999999999"/>
        <n v="0.16303000000000001"/>
      </sharedItems>
    </cacheField>
    <cacheField name="Idd Standby[µA/Mb]" numFmtId="0">
      <sharedItems containsSemiMixedTypes="0" containsString="0" containsNumber="1" minValue="6.14" maxValue="13.35" count="65">
        <n v="7.61"/>
        <n v="8.1"/>
        <n v="9.26"/>
        <n v="8.4600000000000009"/>
        <n v="9.18"/>
        <n v="10.96"/>
        <n v="7.01"/>
        <n v="7.59"/>
        <n v="9.33"/>
        <n v="7.53"/>
        <n v="8.7100000000000009"/>
        <n v="9.4700000000000006"/>
        <n v="11.2"/>
        <n v="12.92"/>
        <n v="13.35"/>
        <n v="8.26"/>
        <n v="8.02"/>
        <n v="9.07"/>
        <n v="8.23"/>
        <n v="8.83"/>
        <n v="10.029999999999999"/>
        <n v="8.49"/>
        <n v="9.31"/>
        <n v="10.6"/>
        <n v="6.14"/>
        <n v="7.07"/>
        <n v="8.89"/>
        <n v="6.74"/>
        <n v="8.11"/>
        <n v="9.06"/>
        <n v="7.21"/>
        <n v="8.86"/>
        <n v="10.29"/>
        <n v="8.74"/>
        <n v="9.91"/>
        <n v="10.89"/>
        <n v="9.02"/>
        <n v="9.98"/>
        <n v="11.3"/>
        <n v="7.38"/>
        <n v="7.78"/>
        <n v="8.9600000000000009"/>
        <n v="7.97"/>
        <n v="8.85"/>
        <n v="6.84"/>
        <n v="8.2200000000000006"/>
        <n v="9.83"/>
        <n v="8.2799999999999994"/>
        <n v="9.77"/>
        <n v="12.01"/>
        <n v="8.36"/>
        <n v="9.4"/>
        <n v="11.39"/>
        <n v="7.13"/>
        <n v="8.07"/>
        <n v="10.02"/>
        <n v="6.93"/>
        <n v="7.44"/>
        <n v="8.42"/>
        <n v="6.31"/>
        <n v="6.7"/>
        <n v="8.6"/>
        <n v="7.06"/>
        <n v="8.66"/>
        <n v="10.19"/>
      </sharedItems>
    </cacheField>
    <cacheField name="Idd18 Standby[mA]" numFmtId="0">
      <sharedItems containsSemiMixedTypes="0" containsString="0" containsNumber="1" minValue="0.19295699999999999" maxValue="0.45247100000000001" count="64">
        <n v="0.22095699999999999"/>
        <n v="0.31023099999999998"/>
        <n v="0.44565900000000003"/>
        <n v="0.29579299999999997"/>
        <n v="0.43815900000000002"/>
        <n v="0.223582"/>
        <n v="0.29279300000000003"/>
        <n v="0.43934600000000001"/>
        <n v="0.19295699999999999"/>
        <n v="0.27041799999999999"/>
        <n v="0.38172099999999998"/>
        <n v="0.19689400000000001"/>
        <n v="0.25948100000000002"/>
        <n v="0.371471"/>
        <n v="0.23133200000000001"/>
        <n v="0.29779299999999997"/>
        <n v="0.42959599999999998"/>
        <n v="0.22883100000000001"/>
        <n v="0.30623099999999998"/>
        <n v="0.44628400000000001"/>
        <n v="0.21876899999999999"/>
        <n v="0.30066799999999999"/>
        <n v="0.43590899999999999"/>
        <n v="0.24601899999999999"/>
        <n v="0.31535600000000003"/>
        <n v="0.45247100000000001"/>
        <n v="0.24551899999999999"/>
        <n v="0.30804300000000001"/>
        <n v="0.428846"/>
        <n v="0.232019"/>
        <n v="0.300981"/>
        <n v="0.43272100000000002"/>
        <n v="0.217082"/>
        <n v="0.27479300000000001"/>
        <n v="0.38178400000000001"/>
        <n v="0.218144"/>
        <n v="0.29829299999999997"/>
        <n v="0.41859600000000002"/>
        <n v="0.233019"/>
        <n v="0.27204299999999998"/>
        <n v="0.36965900000000002"/>
        <n v="0.22645599999999999"/>
        <n v="0.268231"/>
        <n v="0.356159"/>
        <n v="0.22595699999999999"/>
        <n v="0.30235600000000001"/>
        <n v="0.44109599999999999"/>
        <n v="0.215644"/>
        <n v="0.409721"/>
        <n v="0.22995699999999999"/>
        <n v="0.291043"/>
        <n v="0.40684599999999999"/>
        <n v="0.21551899999999999"/>
        <n v="0.28641800000000001"/>
        <n v="0.40097100000000002"/>
        <n v="0.21901899999999999"/>
        <n v="0.29773100000000002"/>
        <n v="0.42028399999999999"/>
        <n v="0.24751899999999999"/>
        <n v="0.29273100000000002"/>
        <n v="0.379471"/>
        <n v="0.20514399999999999"/>
        <n v="0.30210599999999999"/>
        <n v="0.42809599999999998"/>
      </sharedItems>
    </cacheField>
    <cacheField name="Idd18 Standby[µA/Mb]" numFmtId="0">
      <sharedItems containsSemiMixedTypes="0" containsString="0" containsNumber="1" minValue="12.06" maxValue="28.28" count="61">
        <n v="13.81"/>
        <n v="19.39"/>
        <n v="27.85"/>
        <n v="18.489999999999998"/>
        <n v="27.38"/>
        <n v="13.97"/>
        <n v="18.3"/>
        <n v="27.46"/>
        <n v="12.06"/>
        <n v="16.899999999999999"/>
        <n v="23.86"/>
        <n v="12.31"/>
        <n v="16.22"/>
        <n v="23.22"/>
        <n v="14.46"/>
        <n v="18.61"/>
        <n v="26.85"/>
        <n v="14.3"/>
        <n v="19.14"/>
        <n v="27.89"/>
        <n v="13.67"/>
        <n v="18.79"/>
        <n v="27.24"/>
        <n v="15.38"/>
        <n v="19.71"/>
        <n v="28.28"/>
        <n v="15.34"/>
        <n v="19.25"/>
        <n v="26.8"/>
        <n v="14.5"/>
        <n v="18.809999999999999"/>
        <n v="27.05"/>
        <n v="13.57"/>
        <n v="17.170000000000002"/>
        <n v="13.63"/>
        <n v="18.64"/>
        <n v="26.16"/>
        <n v="14.56"/>
        <n v="17"/>
        <n v="23.1"/>
        <n v="14.15"/>
        <n v="16.760000000000002"/>
        <n v="22.26"/>
        <n v="14.12"/>
        <n v="18.899999999999999"/>
        <n v="27.57"/>
        <n v="13.48"/>
        <n v="25.61"/>
        <n v="14.37"/>
        <n v="18.190000000000001"/>
        <n v="25.43"/>
        <n v="13.47"/>
        <n v="17.899999999999999"/>
        <n v="25.06"/>
        <n v="13.69"/>
        <n v="26.27"/>
        <n v="15.47"/>
        <n v="23.72"/>
        <n v="12.82"/>
        <n v="18.88"/>
        <n v="26.76"/>
      </sharedItems>
    </cacheField>
    <cacheField name="IddIO Standby[mA]" numFmtId="0">
      <sharedItems containsSemiMixedTypes="0" containsString="0" containsNumber="1" minValue="0.90492499999999998" maxValue="1.167616" count="66">
        <n v="1.0004249999999999"/>
        <n v="1.0260039999999999"/>
        <n v="1.073491"/>
        <n v="1.0514870000000001"/>
        <n v="1.0825659999999999"/>
        <n v="1.143678"/>
        <n v="1.103925"/>
        <n v="1.146004"/>
        <n v="1.167616"/>
        <n v="1.018238"/>
        <n v="1.066379"/>
        <n v="1.097178"/>
        <n v="0.97829999999999995"/>
        <n v="1.0233159999999999"/>
        <n v="1.062241"/>
        <n v="0.98086200000000001"/>
        <n v="1.005066"/>
        <n v="1.039741"/>
        <n v="0.97898799999999997"/>
        <n v="1.0438160000000001"/>
        <n v="1.067491"/>
        <n v="1.0289250000000001"/>
        <n v="1.061879"/>
        <n v="1.098303"/>
        <n v="1.0031129999999999"/>
        <n v="1.015191"/>
        <n v="1.065928"/>
        <n v="0.94804999999999995"/>
        <n v="0.94831600000000005"/>
        <n v="1.012866"/>
        <n v="1.055987"/>
        <n v="1.1198790000000001"/>
        <n v="1.1370530000000001"/>
        <n v="1.043237"/>
        <n v="1.0685659999999999"/>
        <n v="1.093116"/>
        <n v="1.0463"/>
        <n v="1.072816"/>
        <n v="1.1081160000000001"/>
        <n v="0.92536300000000005"/>
        <n v="0.97212900000000002"/>
        <n v="0.99567799999999995"/>
        <n v="0.99629999999999996"/>
        <n v="1.031566"/>
        <n v="1.0621780000000001"/>
        <n v="1.041237"/>
        <n v="1.069504"/>
        <n v="1.1341159999999999"/>
        <n v="1.012613"/>
        <n v="1.0428789999999999"/>
        <n v="1.075553"/>
        <n v="0.98436199999999996"/>
        <n v="1.038691"/>
        <n v="1.0661780000000001"/>
        <n v="0.91448799999999997"/>
        <n v="0.99025399999999997"/>
        <n v="1.006616"/>
        <n v="0.90492499999999998"/>
        <n v="0.94937899999999997"/>
        <n v="0.99580299999999999"/>
        <n v="0.92742500000000005"/>
        <n v="0.96444099999999999"/>
        <n v="0.99086600000000002"/>
        <n v="0.956488"/>
        <n v="0.985379"/>
        <n v="1.0173030000000001"/>
      </sharedItems>
    </cacheField>
    <cacheField name="Lot Bin Wafer" numFmtId="0">
      <sharedItems count="1">
        <s v="P9NV42_0a_11_FF"/>
      </sharedItems>
    </cacheField>
    <cacheField name="Process Corner" numFmtId="0">
      <sharedItems count="1">
        <s v="FF"/>
      </sharedItems>
    </cacheField>
    <cacheField name="Part Number" numFmtId="0">
      <sharedItems count="22">
        <s v="P0064"/>
        <s v="P0087"/>
        <s v="P0088"/>
        <s v="P0091"/>
        <s v="P0095"/>
        <s v="P0096"/>
        <s v="P0100"/>
        <s v="P0102"/>
        <s v="P0110"/>
        <s v="P0120"/>
        <s v="P0123"/>
        <s v="P0127"/>
        <s v="P0129"/>
        <s v="P0134"/>
        <s v="P0137"/>
        <s v="P0144"/>
        <s v="P0145"/>
        <s v="P0160"/>
        <s v="P0161"/>
        <s v="P0165"/>
        <s v="P0167"/>
        <s v="P0168"/>
      </sharedItems>
    </cacheField>
    <cacheField name="Part ID" numFmtId="0">
      <sharedItems count="22">
        <s v="FF_P9NV42_0a_11_FF_P0064"/>
        <s v="FF_P9NV42_0a_11_FF_P0087"/>
        <s v="FF_P9NV42_0a_11_FF_P0088"/>
        <s v="FF_P9NV42_0a_11_FF_P0091"/>
        <s v="FF_P9NV42_0a_11_FF_P0095"/>
        <s v="FF_P9NV42_0a_11_FF_P0096"/>
        <s v="FF_P9NV42_0a_11_FF_P0100"/>
        <s v="FF_P9NV42_0a_11_FF_P0102"/>
        <s v="FF_P9NV42_0a_11_FF_P0110"/>
        <s v="FF_P9NV42_0a_11_FF_P0120"/>
        <s v="FF_P9NV42_0a_11_FF_P0123"/>
        <s v="FF_P9NV42_0a_11_FF_P0127"/>
        <s v="FF_P9NV42_0a_11_FF_P0129"/>
        <s v="FF_P9NV42_0a_11_FF_P0134"/>
        <s v="FF_P9NV42_0a_11_FF_P0137"/>
        <s v="FF_P9NV42_0a_11_FF_P0144"/>
        <s v="FF_P9NV42_0a_11_FF_P0145"/>
        <s v="FF_P9NV42_0a_11_FF_P0160"/>
        <s v="FF_P9NV42_0a_11_FF_P0161"/>
        <s v="FF_P9NV42_0a_11_FF_P0165"/>
        <s v="FF_P9NV42_0a_11_FF_P0167"/>
        <s v="FF_P9NV42_0a_11_FF_P016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314" maxValue="240314" count="1">
        <n v="2403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1"/>
    <x v="1"/>
    <x v="0"/>
    <x v="0"/>
    <x v="0"/>
    <x v="0"/>
    <x v="0"/>
    <x v="0"/>
  </r>
  <r>
    <x v="2"/>
    <x v="2"/>
    <x v="0"/>
    <x v="2"/>
    <x v="2"/>
    <x v="2"/>
    <x v="2"/>
    <x v="2"/>
    <x v="2"/>
    <x v="2"/>
    <x v="2"/>
    <x v="0"/>
    <x v="0"/>
    <x v="0"/>
    <x v="0"/>
    <x v="0"/>
    <x v="0"/>
  </r>
  <r>
    <x v="0"/>
    <x v="0"/>
    <x v="0"/>
    <x v="0"/>
    <x v="0"/>
    <x v="0"/>
    <x v="3"/>
    <x v="3"/>
    <x v="0"/>
    <x v="0"/>
    <x v="3"/>
    <x v="0"/>
    <x v="0"/>
    <x v="1"/>
    <x v="1"/>
    <x v="0"/>
    <x v="0"/>
  </r>
  <r>
    <x v="1"/>
    <x v="1"/>
    <x v="0"/>
    <x v="1"/>
    <x v="1"/>
    <x v="1"/>
    <x v="4"/>
    <x v="4"/>
    <x v="3"/>
    <x v="3"/>
    <x v="4"/>
    <x v="0"/>
    <x v="0"/>
    <x v="1"/>
    <x v="1"/>
    <x v="0"/>
    <x v="0"/>
  </r>
  <r>
    <x v="2"/>
    <x v="2"/>
    <x v="0"/>
    <x v="2"/>
    <x v="2"/>
    <x v="2"/>
    <x v="5"/>
    <x v="5"/>
    <x v="4"/>
    <x v="4"/>
    <x v="5"/>
    <x v="0"/>
    <x v="0"/>
    <x v="1"/>
    <x v="1"/>
    <x v="0"/>
    <x v="0"/>
  </r>
  <r>
    <x v="0"/>
    <x v="0"/>
    <x v="0"/>
    <x v="0"/>
    <x v="0"/>
    <x v="0"/>
    <x v="6"/>
    <x v="6"/>
    <x v="5"/>
    <x v="5"/>
    <x v="6"/>
    <x v="0"/>
    <x v="0"/>
    <x v="2"/>
    <x v="2"/>
    <x v="0"/>
    <x v="0"/>
  </r>
  <r>
    <x v="1"/>
    <x v="1"/>
    <x v="0"/>
    <x v="1"/>
    <x v="1"/>
    <x v="1"/>
    <x v="7"/>
    <x v="7"/>
    <x v="6"/>
    <x v="6"/>
    <x v="7"/>
    <x v="0"/>
    <x v="0"/>
    <x v="2"/>
    <x v="2"/>
    <x v="0"/>
    <x v="0"/>
  </r>
  <r>
    <x v="2"/>
    <x v="2"/>
    <x v="0"/>
    <x v="2"/>
    <x v="2"/>
    <x v="2"/>
    <x v="8"/>
    <x v="8"/>
    <x v="7"/>
    <x v="7"/>
    <x v="8"/>
    <x v="0"/>
    <x v="0"/>
    <x v="2"/>
    <x v="2"/>
    <x v="0"/>
    <x v="0"/>
  </r>
  <r>
    <x v="0"/>
    <x v="0"/>
    <x v="0"/>
    <x v="0"/>
    <x v="0"/>
    <x v="0"/>
    <x v="9"/>
    <x v="9"/>
    <x v="8"/>
    <x v="8"/>
    <x v="9"/>
    <x v="0"/>
    <x v="0"/>
    <x v="3"/>
    <x v="3"/>
    <x v="0"/>
    <x v="0"/>
  </r>
  <r>
    <x v="1"/>
    <x v="1"/>
    <x v="0"/>
    <x v="1"/>
    <x v="1"/>
    <x v="1"/>
    <x v="10"/>
    <x v="10"/>
    <x v="9"/>
    <x v="9"/>
    <x v="10"/>
    <x v="0"/>
    <x v="0"/>
    <x v="3"/>
    <x v="3"/>
    <x v="0"/>
    <x v="0"/>
  </r>
  <r>
    <x v="2"/>
    <x v="2"/>
    <x v="0"/>
    <x v="2"/>
    <x v="2"/>
    <x v="2"/>
    <x v="11"/>
    <x v="11"/>
    <x v="10"/>
    <x v="10"/>
    <x v="11"/>
    <x v="0"/>
    <x v="0"/>
    <x v="3"/>
    <x v="3"/>
    <x v="0"/>
    <x v="0"/>
  </r>
  <r>
    <x v="0"/>
    <x v="0"/>
    <x v="0"/>
    <x v="0"/>
    <x v="0"/>
    <x v="0"/>
    <x v="12"/>
    <x v="12"/>
    <x v="11"/>
    <x v="11"/>
    <x v="12"/>
    <x v="0"/>
    <x v="0"/>
    <x v="4"/>
    <x v="4"/>
    <x v="0"/>
    <x v="0"/>
  </r>
  <r>
    <x v="1"/>
    <x v="1"/>
    <x v="0"/>
    <x v="1"/>
    <x v="1"/>
    <x v="1"/>
    <x v="13"/>
    <x v="13"/>
    <x v="12"/>
    <x v="12"/>
    <x v="13"/>
    <x v="0"/>
    <x v="0"/>
    <x v="4"/>
    <x v="4"/>
    <x v="0"/>
    <x v="0"/>
  </r>
  <r>
    <x v="2"/>
    <x v="2"/>
    <x v="0"/>
    <x v="2"/>
    <x v="2"/>
    <x v="2"/>
    <x v="14"/>
    <x v="14"/>
    <x v="13"/>
    <x v="13"/>
    <x v="14"/>
    <x v="0"/>
    <x v="0"/>
    <x v="4"/>
    <x v="4"/>
    <x v="0"/>
    <x v="0"/>
  </r>
  <r>
    <x v="0"/>
    <x v="0"/>
    <x v="0"/>
    <x v="0"/>
    <x v="0"/>
    <x v="0"/>
    <x v="15"/>
    <x v="15"/>
    <x v="14"/>
    <x v="14"/>
    <x v="15"/>
    <x v="0"/>
    <x v="0"/>
    <x v="5"/>
    <x v="5"/>
    <x v="0"/>
    <x v="0"/>
  </r>
  <r>
    <x v="1"/>
    <x v="1"/>
    <x v="0"/>
    <x v="1"/>
    <x v="1"/>
    <x v="1"/>
    <x v="16"/>
    <x v="16"/>
    <x v="15"/>
    <x v="15"/>
    <x v="16"/>
    <x v="0"/>
    <x v="0"/>
    <x v="5"/>
    <x v="5"/>
    <x v="0"/>
    <x v="0"/>
  </r>
  <r>
    <x v="2"/>
    <x v="2"/>
    <x v="0"/>
    <x v="2"/>
    <x v="2"/>
    <x v="2"/>
    <x v="17"/>
    <x v="17"/>
    <x v="16"/>
    <x v="16"/>
    <x v="17"/>
    <x v="0"/>
    <x v="0"/>
    <x v="5"/>
    <x v="5"/>
    <x v="0"/>
    <x v="0"/>
  </r>
  <r>
    <x v="0"/>
    <x v="0"/>
    <x v="0"/>
    <x v="0"/>
    <x v="0"/>
    <x v="0"/>
    <x v="18"/>
    <x v="18"/>
    <x v="17"/>
    <x v="17"/>
    <x v="18"/>
    <x v="0"/>
    <x v="0"/>
    <x v="6"/>
    <x v="6"/>
    <x v="0"/>
    <x v="0"/>
  </r>
  <r>
    <x v="1"/>
    <x v="1"/>
    <x v="0"/>
    <x v="1"/>
    <x v="1"/>
    <x v="1"/>
    <x v="19"/>
    <x v="19"/>
    <x v="18"/>
    <x v="18"/>
    <x v="19"/>
    <x v="0"/>
    <x v="0"/>
    <x v="6"/>
    <x v="6"/>
    <x v="0"/>
    <x v="0"/>
  </r>
  <r>
    <x v="2"/>
    <x v="2"/>
    <x v="0"/>
    <x v="2"/>
    <x v="2"/>
    <x v="2"/>
    <x v="20"/>
    <x v="20"/>
    <x v="19"/>
    <x v="19"/>
    <x v="20"/>
    <x v="0"/>
    <x v="0"/>
    <x v="6"/>
    <x v="6"/>
    <x v="0"/>
    <x v="0"/>
  </r>
  <r>
    <x v="0"/>
    <x v="0"/>
    <x v="0"/>
    <x v="0"/>
    <x v="0"/>
    <x v="0"/>
    <x v="21"/>
    <x v="21"/>
    <x v="20"/>
    <x v="20"/>
    <x v="21"/>
    <x v="0"/>
    <x v="0"/>
    <x v="7"/>
    <x v="7"/>
    <x v="0"/>
    <x v="0"/>
  </r>
  <r>
    <x v="1"/>
    <x v="1"/>
    <x v="0"/>
    <x v="1"/>
    <x v="1"/>
    <x v="1"/>
    <x v="22"/>
    <x v="22"/>
    <x v="21"/>
    <x v="21"/>
    <x v="22"/>
    <x v="0"/>
    <x v="0"/>
    <x v="7"/>
    <x v="7"/>
    <x v="0"/>
    <x v="0"/>
  </r>
  <r>
    <x v="2"/>
    <x v="2"/>
    <x v="0"/>
    <x v="2"/>
    <x v="2"/>
    <x v="2"/>
    <x v="23"/>
    <x v="23"/>
    <x v="22"/>
    <x v="22"/>
    <x v="23"/>
    <x v="0"/>
    <x v="0"/>
    <x v="7"/>
    <x v="7"/>
    <x v="0"/>
    <x v="0"/>
  </r>
  <r>
    <x v="0"/>
    <x v="0"/>
    <x v="0"/>
    <x v="0"/>
    <x v="0"/>
    <x v="0"/>
    <x v="24"/>
    <x v="24"/>
    <x v="23"/>
    <x v="23"/>
    <x v="24"/>
    <x v="0"/>
    <x v="0"/>
    <x v="8"/>
    <x v="8"/>
    <x v="0"/>
    <x v="0"/>
  </r>
  <r>
    <x v="1"/>
    <x v="1"/>
    <x v="0"/>
    <x v="1"/>
    <x v="1"/>
    <x v="1"/>
    <x v="25"/>
    <x v="25"/>
    <x v="24"/>
    <x v="24"/>
    <x v="25"/>
    <x v="0"/>
    <x v="0"/>
    <x v="8"/>
    <x v="8"/>
    <x v="0"/>
    <x v="0"/>
  </r>
  <r>
    <x v="2"/>
    <x v="2"/>
    <x v="0"/>
    <x v="2"/>
    <x v="2"/>
    <x v="2"/>
    <x v="26"/>
    <x v="26"/>
    <x v="25"/>
    <x v="25"/>
    <x v="26"/>
    <x v="0"/>
    <x v="0"/>
    <x v="8"/>
    <x v="8"/>
    <x v="0"/>
    <x v="0"/>
  </r>
  <r>
    <x v="0"/>
    <x v="0"/>
    <x v="0"/>
    <x v="0"/>
    <x v="0"/>
    <x v="0"/>
    <x v="27"/>
    <x v="27"/>
    <x v="26"/>
    <x v="26"/>
    <x v="27"/>
    <x v="0"/>
    <x v="0"/>
    <x v="9"/>
    <x v="9"/>
    <x v="0"/>
    <x v="0"/>
  </r>
  <r>
    <x v="1"/>
    <x v="1"/>
    <x v="0"/>
    <x v="1"/>
    <x v="1"/>
    <x v="1"/>
    <x v="28"/>
    <x v="28"/>
    <x v="27"/>
    <x v="27"/>
    <x v="28"/>
    <x v="0"/>
    <x v="0"/>
    <x v="9"/>
    <x v="9"/>
    <x v="0"/>
    <x v="0"/>
  </r>
  <r>
    <x v="2"/>
    <x v="2"/>
    <x v="0"/>
    <x v="2"/>
    <x v="2"/>
    <x v="2"/>
    <x v="29"/>
    <x v="29"/>
    <x v="28"/>
    <x v="28"/>
    <x v="29"/>
    <x v="0"/>
    <x v="0"/>
    <x v="9"/>
    <x v="9"/>
    <x v="0"/>
    <x v="0"/>
  </r>
  <r>
    <x v="0"/>
    <x v="0"/>
    <x v="0"/>
    <x v="0"/>
    <x v="0"/>
    <x v="0"/>
    <x v="30"/>
    <x v="30"/>
    <x v="29"/>
    <x v="29"/>
    <x v="30"/>
    <x v="0"/>
    <x v="0"/>
    <x v="10"/>
    <x v="10"/>
    <x v="0"/>
    <x v="0"/>
  </r>
  <r>
    <x v="1"/>
    <x v="1"/>
    <x v="0"/>
    <x v="1"/>
    <x v="1"/>
    <x v="1"/>
    <x v="31"/>
    <x v="31"/>
    <x v="30"/>
    <x v="30"/>
    <x v="31"/>
    <x v="0"/>
    <x v="0"/>
    <x v="10"/>
    <x v="10"/>
    <x v="0"/>
    <x v="0"/>
  </r>
  <r>
    <x v="2"/>
    <x v="2"/>
    <x v="0"/>
    <x v="2"/>
    <x v="2"/>
    <x v="2"/>
    <x v="32"/>
    <x v="32"/>
    <x v="31"/>
    <x v="31"/>
    <x v="32"/>
    <x v="0"/>
    <x v="0"/>
    <x v="10"/>
    <x v="10"/>
    <x v="0"/>
    <x v="0"/>
  </r>
  <r>
    <x v="0"/>
    <x v="0"/>
    <x v="0"/>
    <x v="0"/>
    <x v="0"/>
    <x v="0"/>
    <x v="33"/>
    <x v="33"/>
    <x v="32"/>
    <x v="32"/>
    <x v="33"/>
    <x v="0"/>
    <x v="0"/>
    <x v="11"/>
    <x v="11"/>
    <x v="0"/>
    <x v="0"/>
  </r>
  <r>
    <x v="1"/>
    <x v="1"/>
    <x v="0"/>
    <x v="1"/>
    <x v="1"/>
    <x v="1"/>
    <x v="34"/>
    <x v="34"/>
    <x v="33"/>
    <x v="33"/>
    <x v="34"/>
    <x v="0"/>
    <x v="0"/>
    <x v="11"/>
    <x v="11"/>
    <x v="0"/>
    <x v="0"/>
  </r>
  <r>
    <x v="2"/>
    <x v="2"/>
    <x v="0"/>
    <x v="2"/>
    <x v="2"/>
    <x v="2"/>
    <x v="35"/>
    <x v="35"/>
    <x v="34"/>
    <x v="10"/>
    <x v="35"/>
    <x v="0"/>
    <x v="0"/>
    <x v="11"/>
    <x v="11"/>
    <x v="0"/>
    <x v="0"/>
  </r>
  <r>
    <x v="0"/>
    <x v="0"/>
    <x v="0"/>
    <x v="0"/>
    <x v="0"/>
    <x v="0"/>
    <x v="36"/>
    <x v="36"/>
    <x v="35"/>
    <x v="34"/>
    <x v="36"/>
    <x v="0"/>
    <x v="0"/>
    <x v="12"/>
    <x v="12"/>
    <x v="0"/>
    <x v="0"/>
  </r>
  <r>
    <x v="1"/>
    <x v="1"/>
    <x v="0"/>
    <x v="1"/>
    <x v="1"/>
    <x v="1"/>
    <x v="37"/>
    <x v="37"/>
    <x v="36"/>
    <x v="35"/>
    <x v="37"/>
    <x v="0"/>
    <x v="0"/>
    <x v="12"/>
    <x v="12"/>
    <x v="0"/>
    <x v="0"/>
  </r>
  <r>
    <x v="2"/>
    <x v="2"/>
    <x v="0"/>
    <x v="2"/>
    <x v="2"/>
    <x v="2"/>
    <x v="38"/>
    <x v="38"/>
    <x v="37"/>
    <x v="36"/>
    <x v="38"/>
    <x v="0"/>
    <x v="0"/>
    <x v="12"/>
    <x v="12"/>
    <x v="0"/>
    <x v="0"/>
  </r>
  <r>
    <x v="0"/>
    <x v="0"/>
    <x v="0"/>
    <x v="0"/>
    <x v="0"/>
    <x v="0"/>
    <x v="39"/>
    <x v="39"/>
    <x v="38"/>
    <x v="37"/>
    <x v="39"/>
    <x v="0"/>
    <x v="0"/>
    <x v="13"/>
    <x v="13"/>
    <x v="0"/>
    <x v="0"/>
  </r>
  <r>
    <x v="1"/>
    <x v="1"/>
    <x v="0"/>
    <x v="1"/>
    <x v="1"/>
    <x v="1"/>
    <x v="40"/>
    <x v="40"/>
    <x v="39"/>
    <x v="38"/>
    <x v="40"/>
    <x v="0"/>
    <x v="0"/>
    <x v="13"/>
    <x v="13"/>
    <x v="0"/>
    <x v="0"/>
  </r>
  <r>
    <x v="2"/>
    <x v="2"/>
    <x v="0"/>
    <x v="2"/>
    <x v="2"/>
    <x v="2"/>
    <x v="41"/>
    <x v="41"/>
    <x v="40"/>
    <x v="39"/>
    <x v="41"/>
    <x v="0"/>
    <x v="0"/>
    <x v="13"/>
    <x v="13"/>
    <x v="0"/>
    <x v="0"/>
  </r>
  <r>
    <x v="0"/>
    <x v="0"/>
    <x v="0"/>
    <x v="0"/>
    <x v="0"/>
    <x v="0"/>
    <x v="42"/>
    <x v="42"/>
    <x v="41"/>
    <x v="40"/>
    <x v="42"/>
    <x v="0"/>
    <x v="0"/>
    <x v="14"/>
    <x v="14"/>
    <x v="0"/>
    <x v="0"/>
  </r>
  <r>
    <x v="1"/>
    <x v="1"/>
    <x v="0"/>
    <x v="1"/>
    <x v="1"/>
    <x v="1"/>
    <x v="43"/>
    <x v="43"/>
    <x v="42"/>
    <x v="41"/>
    <x v="43"/>
    <x v="0"/>
    <x v="0"/>
    <x v="14"/>
    <x v="14"/>
    <x v="0"/>
    <x v="0"/>
  </r>
  <r>
    <x v="2"/>
    <x v="2"/>
    <x v="0"/>
    <x v="2"/>
    <x v="2"/>
    <x v="2"/>
    <x v="44"/>
    <x v="32"/>
    <x v="43"/>
    <x v="42"/>
    <x v="44"/>
    <x v="0"/>
    <x v="0"/>
    <x v="14"/>
    <x v="14"/>
    <x v="0"/>
    <x v="0"/>
  </r>
  <r>
    <x v="0"/>
    <x v="0"/>
    <x v="0"/>
    <x v="0"/>
    <x v="0"/>
    <x v="0"/>
    <x v="45"/>
    <x v="44"/>
    <x v="44"/>
    <x v="43"/>
    <x v="45"/>
    <x v="0"/>
    <x v="0"/>
    <x v="15"/>
    <x v="15"/>
    <x v="0"/>
    <x v="0"/>
  </r>
  <r>
    <x v="1"/>
    <x v="1"/>
    <x v="0"/>
    <x v="1"/>
    <x v="1"/>
    <x v="1"/>
    <x v="46"/>
    <x v="45"/>
    <x v="45"/>
    <x v="44"/>
    <x v="46"/>
    <x v="0"/>
    <x v="0"/>
    <x v="15"/>
    <x v="15"/>
    <x v="0"/>
    <x v="0"/>
  </r>
  <r>
    <x v="2"/>
    <x v="2"/>
    <x v="0"/>
    <x v="2"/>
    <x v="2"/>
    <x v="2"/>
    <x v="47"/>
    <x v="46"/>
    <x v="46"/>
    <x v="45"/>
    <x v="47"/>
    <x v="0"/>
    <x v="0"/>
    <x v="15"/>
    <x v="15"/>
    <x v="0"/>
    <x v="0"/>
  </r>
  <r>
    <x v="0"/>
    <x v="0"/>
    <x v="0"/>
    <x v="0"/>
    <x v="0"/>
    <x v="0"/>
    <x v="48"/>
    <x v="47"/>
    <x v="47"/>
    <x v="46"/>
    <x v="48"/>
    <x v="0"/>
    <x v="0"/>
    <x v="16"/>
    <x v="16"/>
    <x v="0"/>
    <x v="0"/>
  </r>
  <r>
    <x v="1"/>
    <x v="1"/>
    <x v="0"/>
    <x v="1"/>
    <x v="1"/>
    <x v="1"/>
    <x v="49"/>
    <x v="48"/>
    <x v="45"/>
    <x v="44"/>
    <x v="49"/>
    <x v="0"/>
    <x v="0"/>
    <x v="16"/>
    <x v="16"/>
    <x v="0"/>
    <x v="0"/>
  </r>
  <r>
    <x v="2"/>
    <x v="2"/>
    <x v="0"/>
    <x v="2"/>
    <x v="2"/>
    <x v="2"/>
    <x v="50"/>
    <x v="49"/>
    <x v="48"/>
    <x v="47"/>
    <x v="50"/>
    <x v="0"/>
    <x v="0"/>
    <x v="16"/>
    <x v="16"/>
    <x v="0"/>
    <x v="0"/>
  </r>
  <r>
    <x v="0"/>
    <x v="0"/>
    <x v="0"/>
    <x v="0"/>
    <x v="0"/>
    <x v="0"/>
    <x v="51"/>
    <x v="50"/>
    <x v="49"/>
    <x v="48"/>
    <x v="51"/>
    <x v="0"/>
    <x v="0"/>
    <x v="17"/>
    <x v="17"/>
    <x v="0"/>
    <x v="0"/>
  </r>
  <r>
    <x v="1"/>
    <x v="1"/>
    <x v="0"/>
    <x v="1"/>
    <x v="1"/>
    <x v="1"/>
    <x v="52"/>
    <x v="51"/>
    <x v="50"/>
    <x v="49"/>
    <x v="52"/>
    <x v="0"/>
    <x v="0"/>
    <x v="17"/>
    <x v="17"/>
    <x v="0"/>
    <x v="0"/>
  </r>
  <r>
    <x v="2"/>
    <x v="2"/>
    <x v="0"/>
    <x v="2"/>
    <x v="2"/>
    <x v="2"/>
    <x v="53"/>
    <x v="52"/>
    <x v="51"/>
    <x v="50"/>
    <x v="53"/>
    <x v="0"/>
    <x v="0"/>
    <x v="17"/>
    <x v="17"/>
    <x v="0"/>
    <x v="0"/>
  </r>
  <r>
    <x v="0"/>
    <x v="0"/>
    <x v="0"/>
    <x v="0"/>
    <x v="0"/>
    <x v="0"/>
    <x v="54"/>
    <x v="53"/>
    <x v="52"/>
    <x v="51"/>
    <x v="54"/>
    <x v="0"/>
    <x v="0"/>
    <x v="18"/>
    <x v="18"/>
    <x v="0"/>
    <x v="0"/>
  </r>
  <r>
    <x v="1"/>
    <x v="1"/>
    <x v="0"/>
    <x v="1"/>
    <x v="1"/>
    <x v="1"/>
    <x v="55"/>
    <x v="54"/>
    <x v="53"/>
    <x v="52"/>
    <x v="55"/>
    <x v="0"/>
    <x v="0"/>
    <x v="18"/>
    <x v="18"/>
    <x v="0"/>
    <x v="0"/>
  </r>
  <r>
    <x v="2"/>
    <x v="2"/>
    <x v="0"/>
    <x v="2"/>
    <x v="2"/>
    <x v="2"/>
    <x v="56"/>
    <x v="55"/>
    <x v="54"/>
    <x v="53"/>
    <x v="56"/>
    <x v="0"/>
    <x v="0"/>
    <x v="18"/>
    <x v="18"/>
    <x v="0"/>
    <x v="0"/>
  </r>
  <r>
    <x v="0"/>
    <x v="0"/>
    <x v="0"/>
    <x v="0"/>
    <x v="0"/>
    <x v="0"/>
    <x v="57"/>
    <x v="56"/>
    <x v="55"/>
    <x v="54"/>
    <x v="57"/>
    <x v="0"/>
    <x v="0"/>
    <x v="19"/>
    <x v="19"/>
    <x v="0"/>
    <x v="0"/>
  </r>
  <r>
    <x v="1"/>
    <x v="1"/>
    <x v="0"/>
    <x v="1"/>
    <x v="1"/>
    <x v="1"/>
    <x v="58"/>
    <x v="57"/>
    <x v="56"/>
    <x v="15"/>
    <x v="58"/>
    <x v="0"/>
    <x v="0"/>
    <x v="19"/>
    <x v="19"/>
    <x v="0"/>
    <x v="0"/>
  </r>
  <r>
    <x v="2"/>
    <x v="2"/>
    <x v="0"/>
    <x v="2"/>
    <x v="2"/>
    <x v="2"/>
    <x v="59"/>
    <x v="58"/>
    <x v="57"/>
    <x v="55"/>
    <x v="59"/>
    <x v="0"/>
    <x v="0"/>
    <x v="19"/>
    <x v="19"/>
    <x v="0"/>
    <x v="0"/>
  </r>
  <r>
    <x v="0"/>
    <x v="0"/>
    <x v="0"/>
    <x v="0"/>
    <x v="0"/>
    <x v="0"/>
    <x v="60"/>
    <x v="59"/>
    <x v="58"/>
    <x v="56"/>
    <x v="60"/>
    <x v="0"/>
    <x v="0"/>
    <x v="20"/>
    <x v="20"/>
    <x v="0"/>
    <x v="0"/>
  </r>
  <r>
    <x v="1"/>
    <x v="1"/>
    <x v="0"/>
    <x v="1"/>
    <x v="1"/>
    <x v="1"/>
    <x v="61"/>
    <x v="60"/>
    <x v="59"/>
    <x v="6"/>
    <x v="61"/>
    <x v="0"/>
    <x v="0"/>
    <x v="20"/>
    <x v="20"/>
    <x v="0"/>
    <x v="0"/>
  </r>
  <r>
    <x v="2"/>
    <x v="2"/>
    <x v="0"/>
    <x v="2"/>
    <x v="2"/>
    <x v="2"/>
    <x v="62"/>
    <x v="61"/>
    <x v="60"/>
    <x v="57"/>
    <x v="62"/>
    <x v="0"/>
    <x v="0"/>
    <x v="20"/>
    <x v="20"/>
    <x v="0"/>
    <x v="0"/>
  </r>
  <r>
    <x v="0"/>
    <x v="0"/>
    <x v="0"/>
    <x v="0"/>
    <x v="0"/>
    <x v="0"/>
    <x v="63"/>
    <x v="62"/>
    <x v="61"/>
    <x v="58"/>
    <x v="63"/>
    <x v="0"/>
    <x v="0"/>
    <x v="21"/>
    <x v="21"/>
    <x v="0"/>
    <x v="0"/>
  </r>
  <r>
    <x v="1"/>
    <x v="1"/>
    <x v="0"/>
    <x v="1"/>
    <x v="1"/>
    <x v="1"/>
    <x v="64"/>
    <x v="63"/>
    <x v="62"/>
    <x v="59"/>
    <x v="64"/>
    <x v="0"/>
    <x v="0"/>
    <x v="21"/>
    <x v="21"/>
    <x v="0"/>
    <x v="0"/>
  </r>
  <r>
    <x v="2"/>
    <x v="2"/>
    <x v="0"/>
    <x v="2"/>
    <x v="2"/>
    <x v="2"/>
    <x v="65"/>
    <x v="64"/>
    <x v="63"/>
    <x v="60"/>
    <x v="65"/>
    <x v="0"/>
    <x v="0"/>
    <x v="21"/>
    <x v="2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6AC44D-7514-44C9-965B-C37D445B4454}" name="DataPivotTable" cacheId="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7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compact="0" showAll="0" defaultSubtotal="0">
      <items count="3">
        <item x="0"/>
        <item x="1"/>
        <item x="2"/>
      </items>
    </pivotField>
    <pivotField compact="0" showAll="0" defaultSubtotal="0">
      <items count="3">
        <item x="0"/>
        <item x="1"/>
        <item x="2"/>
      </items>
    </pivotField>
    <pivotField compact="0" showAll="0" defaultSubtotal="0">
      <items count="3">
        <item x="2"/>
        <item x="1"/>
        <item x="0"/>
      </items>
    </pivotField>
    <pivotField dataField="1" compact="0" showAll="0" defaultSubtotal="0">
      <items count="66">
        <item x="24"/>
        <item x="60"/>
        <item x="61"/>
        <item x="27"/>
        <item x="45"/>
        <item x="57"/>
        <item x="6"/>
        <item x="63"/>
        <item x="25"/>
        <item x="54"/>
        <item x="30"/>
        <item x="39"/>
        <item x="58"/>
        <item x="9"/>
        <item x="7"/>
        <item x="0"/>
        <item x="40"/>
        <item x="42"/>
        <item x="16"/>
        <item x="55"/>
        <item x="1"/>
        <item x="28"/>
        <item x="46"/>
        <item x="18"/>
        <item x="15"/>
        <item x="48"/>
        <item x="51"/>
        <item x="59"/>
        <item x="3"/>
        <item x="21"/>
        <item x="62"/>
        <item x="64"/>
        <item x="10"/>
        <item x="33"/>
        <item x="19"/>
        <item x="43"/>
        <item x="31"/>
        <item x="26"/>
        <item x="41"/>
        <item x="36"/>
        <item x="29"/>
        <item x="17"/>
        <item x="4"/>
        <item x="2"/>
        <item x="22"/>
        <item x="8"/>
        <item x="52"/>
        <item x="11"/>
        <item x="49"/>
        <item x="47"/>
        <item x="34"/>
        <item x="37"/>
        <item x="56"/>
        <item x="20"/>
        <item x="65"/>
        <item x="44"/>
        <item x="32"/>
        <item x="23"/>
        <item x="35"/>
        <item x="5"/>
        <item x="12"/>
        <item x="38"/>
        <item x="53"/>
        <item x="50"/>
        <item x="13"/>
        <item x="14"/>
      </items>
    </pivotField>
    <pivotField compact="0" showAll="0" defaultSubtotal="0">
      <items count="65">
        <item x="24"/>
        <item x="59"/>
        <item x="60"/>
        <item x="27"/>
        <item x="44"/>
        <item x="56"/>
        <item x="6"/>
        <item x="62"/>
        <item x="25"/>
        <item x="53"/>
        <item x="30"/>
        <item x="39"/>
        <item x="57"/>
        <item x="9"/>
        <item x="7"/>
        <item x="0"/>
        <item x="40"/>
        <item x="42"/>
        <item x="16"/>
        <item x="54"/>
        <item x="1"/>
        <item x="28"/>
        <item x="45"/>
        <item x="18"/>
        <item x="15"/>
        <item x="47"/>
        <item x="50"/>
        <item x="58"/>
        <item x="3"/>
        <item x="21"/>
        <item x="61"/>
        <item x="63"/>
        <item x="10"/>
        <item x="33"/>
        <item x="19"/>
        <item x="43"/>
        <item x="31"/>
        <item x="26"/>
        <item x="41"/>
        <item x="36"/>
        <item x="29"/>
        <item x="17"/>
        <item x="4"/>
        <item x="2"/>
        <item x="22"/>
        <item x="8"/>
        <item x="51"/>
        <item x="11"/>
        <item x="48"/>
        <item x="46"/>
        <item x="34"/>
        <item x="37"/>
        <item x="55"/>
        <item x="20"/>
        <item x="64"/>
        <item x="32"/>
        <item x="23"/>
        <item x="35"/>
        <item x="5"/>
        <item x="12"/>
        <item x="38"/>
        <item x="52"/>
        <item x="49"/>
        <item x="13"/>
        <item x="14"/>
      </items>
    </pivotField>
    <pivotField dataField="1" compact="0" showAll="0" defaultSubtotal="0">
      <items count="64">
        <item x="8"/>
        <item x="11"/>
        <item x="61"/>
        <item x="52"/>
        <item x="47"/>
        <item x="32"/>
        <item x="35"/>
        <item x="20"/>
        <item x="55"/>
        <item x="0"/>
        <item x="5"/>
        <item x="44"/>
        <item x="41"/>
        <item x="17"/>
        <item x="49"/>
        <item x="14"/>
        <item x="29"/>
        <item x="38"/>
        <item x="26"/>
        <item x="23"/>
        <item x="58"/>
        <item x="12"/>
        <item x="42"/>
        <item x="9"/>
        <item x="39"/>
        <item x="33"/>
        <item x="53"/>
        <item x="50"/>
        <item x="59"/>
        <item x="6"/>
        <item x="3"/>
        <item x="56"/>
        <item x="15"/>
        <item x="36"/>
        <item x="21"/>
        <item x="30"/>
        <item x="62"/>
        <item x="45"/>
        <item x="18"/>
        <item x="27"/>
        <item x="1"/>
        <item x="24"/>
        <item x="43"/>
        <item x="40"/>
        <item x="13"/>
        <item x="60"/>
        <item x="10"/>
        <item x="34"/>
        <item x="54"/>
        <item x="51"/>
        <item x="48"/>
        <item x="37"/>
        <item x="57"/>
        <item x="63"/>
        <item x="28"/>
        <item x="16"/>
        <item x="31"/>
        <item x="22"/>
        <item x="4"/>
        <item x="7"/>
        <item x="46"/>
        <item x="2"/>
        <item x="19"/>
        <item x="25"/>
      </items>
    </pivotField>
    <pivotField compact="0" showAll="0" defaultSubtotal="0">
      <items count="61">
        <item x="8"/>
        <item x="11"/>
        <item x="58"/>
        <item x="51"/>
        <item x="46"/>
        <item x="32"/>
        <item x="34"/>
        <item x="20"/>
        <item x="54"/>
        <item x="0"/>
        <item x="5"/>
        <item x="43"/>
        <item x="40"/>
        <item x="17"/>
        <item x="48"/>
        <item x="14"/>
        <item x="29"/>
        <item x="37"/>
        <item x="26"/>
        <item x="23"/>
        <item x="56"/>
        <item x="12"/>
        <item x="41"/>
        <item x="9"/>
        <item x="38"/>
        <item x="33"/>
        <item x="52"/>
        <item x="49"/>
        <item x="6"/>
        <item x="3"/>
        <item x="15"/>
        <item x="35"/>
        <item x="21"/>
        <item x="30"/>
        <item x="59"/>
        <item x="44"/>
        <item x="18"/>
        <item x="27"/>
        <item x="1"/>
        <item x="24"/>
        <item x="42"/>
        <item x="39"/>
        <item x="13"/>
        <item x="57"/>
        <item x="10"/>
        <item x="53"/>
        <item x="50"/>
        <item x="47"/>
        <item x="36"/>
        <item x="55"/>
        <item x="60"/>
        <item x="28"/>
        <item x="16"/>
        <item x="31"/>
        <item x="22"/>
        <item x="4"/>
        <item x="7"/>
        <item x="45"/>
        <item x="2"/>
        <item x="19"/>
        <item x="25"/>
      </items>
    </pivotField>
    <pivotField dataField="1" compact="0" showAll="0" defaultSubtotal="0">
      <items count="66">
        <item x="57"/>
        <item x="54"/>
        <item x="39"/>
        <item x="60"/>
        <item x="27"/>
        <item x="28"/>
        <item x="58"/>
        <item x="63"/>
        <item x="61"/>
        <item x="40"/>
        <item x="12"/>
        <item x="18"/>
        <item x="15"/>
        <item x="51"/>
        <item x="64"/>
        <item x="55"/>
        <item x="62"/>
        <item x="41"/>
        <item x="59"/>
        <item x="42"/>
        <item x="0"/>
        <item x="24"/>
        <item x="16"/>
        <item x="56"/>
        <item x="48"/>
        <item x="29"/>
        <item x="25"/>
        <item x="65"/>
        <item x="9"/>
        <item x="13"/>
        <item x="1"/>
        <item x="21"/>
        <item x="43"/>
        <item x="52"/>
        <item x="17"/>
        <item x="45"/>
        <item x="49"/>
        <item x="33"/>
        <item x="19"/>
        <item x="36"/>
        <item x="3"/>
        <item x="30"/>
        <item x="22"/>
        <item x="44"/>
        <item x="14"/>
        <item x="26"/>
        <item x="53"/>
        <item x="10"/>
        <item x="20"/>
        <item x="34"/>
        <item x="46"/>
        <item x="37"/>
        <item x="2"/>
        <item x="50"/>
        <item x="4"/>
        <item x="35"/>
        <item x="11"/>
        <item x="23"/>
        <item x="6"/>
        <item x="38"/>
        <item x="31"/>
        <item x="47"/>
        <item x="32"/>
        <item x="5"/>
        <item x="7"/>
        <item x="8"/>
      </items>
    </pivotField>
    <pivotField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axis="axisPage" compact="0" showAll="0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compact="0" showAll="0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13" hier="-1"/>
    <pageField fld="15" hier="-1"/>
  </pageFields>
  <dataFields count="3">
    <dataField name="Average of Idd Standby[mA]" fld="6" subtotal="average" baseField="0" baseItem="0"/>
    <dataField name="Average of Idd18 Standby[mA]" fld="8" subtotal="average" baseField="0" baseItem="0"/>
    <dataField name="Average of IddIO Standby[mA]" fld="10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B595C-A752-4186-AB6E-D218F2D4996D}">
  <sheetPr codeName="Sheet1"/>
  <dimension ref="B1:F11"/>
  <sheetViews>
    <sheetView workbookViewId="0">
      <selection activeCell="E7" sqref="E7"/>
    </sheetView>
  </sheetViews>
  <sheetFormatPr defaultRowHeight="15" x14ac:dyDescent="0.25"/>
  <cols>
    <col min="2" max="2" width="13.140625" bestFit="1" customWidth="1"/>
    <col min="3" max="3" width="11.5703125" bestFit="1" customWidth="1"/>
    <col min="4" max="4" width="26.42578125" bestFit="1" customWidth="1"/>
    <col min="5" max="6" width="28.42578125" bestFit="1" customWidth="1"/>
  </cols>
  <sheetData>
    <row r="1" spans="2:6" x14ac:dyDescent="0.25">
      <c r="B1" s="1" t="s">
        <v>0</v>
      </c>
      <c r="C1" t="s">
        <v>3</v>
      </c>
    </row>
    <row r="2" spans="2:6" x14ac:dyDescent="0.25">
      <c r="B2" s="1" t="s">
        <v>1</v>
      </c>
      <c r="C2" t="s">
        <v>3</v>
      </c>
    </row>
    <row r="4" spans="2:6" x14ac:dyDescent="0.25">
      <c r="D4" s="1" t="s">
        <v>2</v>
      </c>
    </row>
    <row r="5" spans="2:6" x14ac:dyDescent="0.25">
      <c r="B5" s="1" t="s">
        <v>4</v>
      </c>
      <c r="C5" s="1" t="s">
        <v>5</v>
      </c>
      <c r="D5" t="s">
        <v>6</v>
      </c>
      <c r="E5" t="s">
        <v>7</v>
      </c>
      <c r="F5" t="s">
        <v>8</v>
      </c>
    </row>
    <row r="6" spans="2:6" x14ac:dyDescent="0.25">
      <c r="B6">
        <v>0.72</v>
      </c>
    </row>
    <row r="7" spans="2:6" x14ac:dyDescent="0.25">
      <c r="C7">
        <v>1.62</v>
      </c>
      <c r="D7">
        <v>0.1242869090909091</v>
      </c>
      <c r="E7">
        <v>0.22324072727272723</v>
      </c>
      <c r="F7">
        <v>0.99550172727272712</v>
      </c>
    </row>
    <row r="8" spans="2:6" x14ac:dyDescent="0.25">
      <c r="B8">
        <v>0.8</v>
      </c>
    </row>
    <row r="9" spans="2:6" x14ac:dyDescent="0.25">
      <c r="C9">
        <v>1.8</v>
      </c>
      <c r="D9">
        <v>0.13924800000000001</v>
      </c>
      <c r="E9">
        <v>0.29299495454545449</v>
      </c>
      <c r="F9">
        <v>1.0329099999999998</v>
      </c>
    </row>
    <row r="10" spans="2:6" x14ac:dyDescent="0.25">
      <c r="B10">
        <v>0.88</v>
      </c>
    </row>
    <row r="11" spans="2:6" x14ac:dyDescent="0.25">
      <c r="C11">
        <v>1.98</v>
      </c>
      <c r="D11">
        <v>0.16160136363636363</v>
      </c>
      <c r="E11">
        <v>0.41431209090909094</v>
      </c>
      <c r="F11">
        <v>1.0686867727272726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pane ySplit="1" topLeftCell="A2" activePane="bottomLeft" state="frozen"/>
      <selection pane="bottomLeft" activeCell="C13" sqref="C1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7" ma:contentTypeDescription="Create a new document." ma:contentTypeScope="" ma:versionID="2b1b4cfacac20d4b933632b7dda5d7ec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824ebec2d74ab20831ce36d10c6fa0e4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BFF84B-249F-4530-9B10-1BBA9A786609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customXml/itemProps2.xml><?xml version="1.0" encoding="utf-8"?>
<ds:datastoreItem xmlns:ds="http://schemas.openxmlformats.org/officeDocument/2006/customXml" ds:itemID="{350E0389-DF64-4F35-8A2D-BE91843D8E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E6803A-13CE-4C27-9CFB-B821E1B637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Jean Shin</cp:lastModifiedBy>
  <dcterms:created xsi:type="dcterms:W3CDTF">2015-06-05T18:17:20Z</dcterms:created>
  <dcterms:modified xsi:type="dcterms:W3CDTF">2024-07-03T21:26:44Z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