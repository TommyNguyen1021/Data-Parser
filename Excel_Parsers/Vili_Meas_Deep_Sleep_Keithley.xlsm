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19A203C5-FE4E-49EA-BE67-33BC612E5727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65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308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<sst xmlns="http://schemas.openxmlformats.org/spreadsheetml/2006/main" count="10" uniqueCount="10">
  <si>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</si>
  <si>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</si>
  <si>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</si>
  <si>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</si>
  <si>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Values</t>
  </si>
  <si>
    <t>(All)</t>
  </si>
  <si>
    <t>Average of Idd D-Sleep</t>
  </si>
  <si>
    <t>Average of Idd18 D-Sleep</t>
  </si>
  <si>
    <t>Average of IddIO D-Sleep</t>
  </si>
  <si>
    <t>Q0134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</si>
</sst>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[Vili_Meas_Deep_Sleep_Keithley.xlsm]Pivot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Deep Sleep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Table'!$D$4:$D$5</c:f>
              <c:strCache>
                <c:ptCount val="1"/>
                <c:pt idx="0">
                  <c:v>Average of Idd D-Sleep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Table'!$B$6:$C$17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</c:multiLvlStrCache>
            </c:multiLvlStrRef>
          </c:cat>
          <c:val>
            <c:numRef>
              <c:f>'Pivot Table'!$D$6:$D$17</c:f>
              <c:numCache>
                <c:formatCode>General</c:formatCode>
                <c:ptCount val="9"/>
                <c:pt idx="0">
                  <c:v>4.32336735699999E-9</c:v>
                </c:pt>
                <c:pt idx="1">
                  <c:v>2.6566662890000001E-8</c:v>
                </c:pt>
                <c:pt idx="2">
                  <c:v>1.8398410078999999E-8</c:v>
                </c:pt>
                <c:pt idx="3">
                  <c:v>1.3126620090000001E-8</c:v>
                </c:pt>
                <c:pt idx="4">
                  <c:v>5.8077210765999898E-8</c:v>
                </c:pt>
                <c:pt idx="5">
                  <c:v>9.6645651260000001E-8</c:v>
                </c:pt>
                <c:pt idx="6">
                  <c:v>3.2424281950000001E-7</c:v>
                </c:pt>
                <c:pt idx="7">
                  <c:v>3.22097255E-7</c:v>
                </c:pt>
                <c:pt idx="8">
                  <c:v>3.11909156E-7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D1-4FBF-83F4-639B8DA3418A}"/>
            </c:ext>
          </c:extLst>
        </c:ser>
        <c:ser>
          <c:idx val="1"/>
          <c:order val="1"/>
          <c:tx>
            <c:strRef>
              <c:f>'Pivot Table'!$E$4:$E$5</c:f>
              <c:strCache>
                <c:ptCount val="1"/>
                <c:pt idx="0">
                  <c:v>Average of Idd18 D-Sleep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Table'!$B$6:$C$17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</c:multiLvlStrCache>
            </c:multiLvlStrRef>
          </c:cat>
          <c:val>
            <c:numRef>
              <c:f>'Pivot Table'!$E$6:$E$17</c:f>
              <c:numCache>
                <c:formatCode>General</c:formatCode>
                <c:ptCount val="9"/>
                <c:pt idx="0">
                  <c:v>5.7436431599999999E-5</c:v>
                </c:pt>
                <c:pt idx="1">
                  <c:v>1.14140434999999E-4</c:v>
                </c:pt>
                <c:pt idx="2">
                  <c:v>2.06671550999999E-4</c:v>
                </c:pt>
                <c:pt idx="3">
                  <c:v>5.6474328899999997E-5</c:v>
                </c:pt>
                <c:pt idx="4">
                  <c:v>1.12944923999999E-4</c:v>
                </c:pt>
                <c:pt idx="5">
                  <c:v>2.05118769E-4</c:v>
                </c:pt>
                <c:pt idx="6">
                  <c:v>5.5725326399999997E-5</c:v>
                </c:pt>
                <c:pt idx="7">
                  <c:v>1.11939118E-4</c:v>
                </c:pt>
                <c:pt idx="8">
                  <c:v>2.0355271299999999E-4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D1-4FBF-83F4-639B8DA3418A}"/>
            </c:ext>
          </c:extLst>
        </c:ser>
        <c:ser>
          <c:idx val="2"/>
          <c:order val="2"/>
          <c:tx>
            <c:strRef>
              <c:f>'Pivot Table'!$F$4:$F$5</c:f>
              <c:strCache>
                <c:ptCount val="1"/>
                <c:pt idx="0">
                  <c:v>Average of IddIO D-Sleep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Table'!$B$6:$C$17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</c:multiLvlStrCache>
            </c:multiLvlStrRef>
          </c:cat>
          <c:val>
            <c:numRef>
              <c:f>'Pivot Table'!$F$6:$F$17</c:f>
              <c:numCache>
                <c:formatCode>General</c:formatCode>
                <c:ptCount val="9"/>
                <c:pt idx="0">
                  <c:v>9.7000780299999999E-4</c:v>
                </c:pt>
                <c:pt idx="1">
                  <c:v>9.7078623799999998E-4</c:v>
                </c:pt>
                <c:pt idx="2">
                  <c:v>9.6810573899999903E-4</c:v>
                </c:pt>
                <c:pt idx="3">
                  <c:v>1.0237363199999999E-3</c:v>
                </c:pt>
                <c:pt idx="4">
                  <c:v>1.0233857599999999E-3</c:v>
                </c:pt>
                <c:pt idx="5">
                  <c:v>1.0232332199999999E-3</c:v>
                </c:pt>
                <c:pt idx="6">
                  <c:v>1.0626804400000001E-3</c:v>
                </c:pt>
                <c:pt idx="7">
                  <c:v>1.0630711499999999E-3</c:v>
                </c:pt>
                <c:pt idx="8">
                  <c:v>1.0645031999999899E-3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D1-4FBF-83F4-639B8DA34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08895"/>
        <c:axId val="1236680623"/>
      </c:lineChart>
      <c:catAx>
        <c:axId val="123930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680623"/>
        <c:crosses val="autoZero"/>
        <c:auto val="1"/>
        <c:lblAlgn val="ctr"/>
        <c:lblOffset val="100"/>
        <c:noMultiLvlLbl val="0"/>
      </c:catAx>
      <c:valAx>
        <c:axId val="123668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308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476250</xdr:colOff>
      <xdr:row>2</xdr:row>
      <xdr:rowOff>127000</xdr:rowOff>
    </xdr:from>
    <xdr:to>
      <xdr:col>25</xdr:col>
      <xdr:colOff>273050</xdr:colOff>
      <xdr:row>34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1DD3E7-A5C7-9259-44BA-9606866958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12679513886" createdVersion="3" refreshedVersion="8" minRefreshableVersion="3" recordCount="27" xr:uid="{D3A3E7D0-12B9-4E30-AA23-C39F60868469}">
  <cacheSource type="worksheet">
    <worksheetSource ref="A1:M28" sheet="Data"/>
  </cacheSource>
  <cacheFields count="13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1.5" maxValue="1.5" count="1">
        <n v="1.5"/>
      </sharedItems>
    </cacheField>
    <cacheField name="Vdd Meas" numFmtId="0">
      <sharedItems containsSemiMixedTypes="0" containsString="0" containsNumber="1" minValue="0.71971143999999998" maxValue="0.87948691999999995" count="27">
        <n v="0.71971796999999904"/>
        <n v="0.71971144999999903"/>
        <n v="0.71971143999999998"/>
        <n v="0.79939141999999896"/>
        <n v="0.79934673000000001"/>
        <n v="0.79936761999999995"/>
        <n v="0.87947094999999997"/>
        <n v="0.87947153"/>
        <n v="0.87945165000000003"/>
        <n v="0.71974183000000003"/>
        <n v="0.71975495"/>
        <n v="0.71977652999999997"/>
        <n v="0.79940226000000003"/>
        <n v="0.79940467999999998"/>
        <n v="0.7994346"/>
        <n v="0.87946784"/>
        <n v="0.87947938000000003"/>
        <n v="0.87948691999999995"/>
        <n v="0.71977506999999996"/>
        <n v="0.71976669999999998"/>
        <n v="0.71977376000000004"/>
        <n v="0.79939930999999897"/>
        <n v="0.79937449999999899"/>
        <n v="0.79937712000000005"/>
        <n v="0.87947637999999995"/>
        <n v="0.87948479000000002"/>
        <n v="0.87947308999999996"/>
      </sharedItems>
    </cacheField>
    <cacheField name="Idd D-Sleep" numFmtId="11">
      <sharedItems containsSemiMixedTypes="0" containsString="0" containsNumber="1" minValue="-9.8638109139999999E-8" maxValue="3.62523563E-7" count="27">
        <n v="-4.6709527198999999E-8"/>
        <n v="-9.8638109139999999E-8"/>
        <n v="-4.0727207249999903E-8"/>
        <n v="4.7980747589999997E-9"/>
        <n v="1.4151388035E-8"/>
        <n v="4.9851382809E-8"/>
        <n v="3.62523563E-7"/>
        <n v="3.19551277E-7"/>
        <n v="3.2311926199999901E-7"/>
        <n v="4.32336735699999E-9"/>
        <n v="2.6566662890000001E-8"/>
        <n v="1.8398410078999999E-8"/>
        <n v="1.3126620090000001E-8"/>
        <n v="5.8077210765999898E-8"/>
        <n v="9.6645651260000001E-8"/>
        <n v="3.2424281950000001E-7"/>
        <n v="3.22097255E-7"/>
        <n v="3.11909156E-7"/>
        <n v="2.3004892399999899E-10"/>
        <n v="3.0785736349999899E-9"/>
        <n v="-1.0600159849999999E-8"/>
        <n v="6.1331741178E-8"/>
        <n v="5.8323592549999902E-8"/>
        <n v="9.3988438350000004E-8"/>
        <n v="2.7919893130000001E-7"/>
        <n v="2.81440625E-7"/>
        <n v="2.9652089559999899E-7"/>
      </sharedItems>
    </cacheField>
    <cacheField name="Vdd18 Meas" numFmtId="0">
      <sharedItems containsSemiMixedTypes="0" containsString="0" containsNumber="1" minValue="1.6199268" maxValue="1.9800424999999899" count="27">
        <n v="1.6199790999999999"/>
        <n v="1.8001370000000001"/>
        <n v="1.9800333999999999"/>
        <n v="1.6199618"/>
        <n v="1.8001114999999901"/>
        <n v="1.9800206"/>
        <n v="1.6199682"/>
        <n v="1.8000874"/>
        <n v="1.9799902"/>
        <n v="1.6199827"/>
        <n v="1.8000841999999999"/>
        <n v="1.9800424999999899"/>
        <n v="1.6199280999999901"/>
        <n v="1.8001186999999901"/>
        <n v="1.9800017999999999"/>
        <n v="1.6199268"/>
        <n v="1.8001240999999999"/>
        <n v="1.9800233"/>
        <n v="1.6199490000000001"/>
        <n v="1.80009"/>
        <n v="1.9799817"/>
        <n v="1.6199629"/>
        <n v="1.8000676"/>
        <n v="1.9800222999999999"/>
        <n v="1.6199602"/>
        <n v="1.8000997000000001"/>
        <n v="1.9800286"/>
      </sharedItems>
    </cacheField>
    <cacheField name="Idd18 D-Sleep" numFmtId="0">
      <sharedItems containsSemiMixedTypes="0" containsString="0" containsNumber="1" minValue="3.8765724799999897E-5" maxValue="2.06671550999999E-4" count="27">
        <n v="4.0857773200000003E-5"/>
        <n v="7.0003103099999906E-5"/>
        <n v="1.2851358600000001E-4"/>
        <n v="3.9700298200000001E-5"/>
        <n v="6.8399693699999997E-5"/>
        <n v="1.26318846E-4"/>
        <n v="3.8765724799999897E-5"/>
        <n v="6.6968529399999993E-5"/>
        <n v="1.24592447999999E-4"/>
        <n v="5.7436431599999999E-5"/>
        <n v="1.14140434999999E-4"/>
        <n v="2.06671550999999E-4"/>
        <n v="5.6474328899999997E-5"/>
        <n v="1.12944923999999E-4"/>
        <n v="2.05118769E-4"/>
        <n v="5.5725326399999997E-5"/>
        <n v="1.11939118E-4"/>
        <n v="2.0355271299999999E-4"/>
        <n v="5.0892791100000002E-5"/>
        <n v="8.7949276099999994E-5"/>
        <n v="1.7025731999999999E-4"/>
        <n v="4.99276301E-5"/>
        <n v="8.6662691699999894E-5"/>
        <n v="1.6853641200000001E-4"/>
        <n v="4.9147670000000002E-5"/>
        <n v="8.55388271E-5"/>
        <n v="1.67136133E-4"/>
      </sharedItems>
    </cacheField>
    <cacheField name="VddIO Meas" numFmtId="0">
      <sharedItems containsSemiMixedTypes="0" containsString="0" containsNumber="1" minValue="1.5000602000000001" maxValue="1.50016089999999" count="27">
        <n v="1.5000848"/>
        <n v="1.5000775"/>
        <n v="1.5000939"/>
        <n v="1.5000602000000001"/>
        <n v="1.5000975999999899"/>
        <n v="1.5000978"/>
        <n v="1.5001100000000001"/>
        <n v="1.5001328999999901"/>
        <n v="1.500097"/>
        <n v="1.5000814"/>
        <n v="1.50008589999999"/>
        <n v="1.5000655000000001"/>
        <n v="1.5000658999999901"/>
        <n v="1.5000845999999901"/>
        <n v="1.5001370999999999"/>
        <n v="1.5001443999999999"/>
        <n v="1.5001377999999901"/>
        <n v="1.5000728000000001"/>
        <n v="1.50013849999999"/>
        <n v="1.50016089999999"/>
        <n v="1.50012199999999"/>
        <n v="1.5001012"/>
        <n v="1.5001096999999901"/>
        <n v="1.5001017000000001"/>
        <n v="1.5000932999999901"/>
        <n v="1.5001057"/>
        <n v="1.5001447000000001"/>
      </sharedItems>
    </cacheField>
    <cacheField name="IddIO D-Sleep" numFmtId="0">
      <sharedItems containsSemiMixedTypes="0" containsString="0" containsNumber="1" minValue="8.9158967999999905E-4" maxValue="1.0645031999999899E-3" count="27">
        <n v="8.9228033800000002E-4"/>
        <n v="8.9206268899999898E-4"/>
        <n v="8.9158967999999905E-4"/>
        <n v="9.4226456899999995E-4"/>
        <n v="9.4265239199999896E-4"/>
        <n v="9.4375127399999896E-4"/>
        <n v="9.7629685499999895E-4"/>
        <n v="9.7668928499999993E-4"/>
        <n v="9.7697853799999989E-4"/>
        <n v="9.7000780299999999E-4"/>
        <n v="9.7078623799999998E-4"/>
        <n v="9.6810573899999903E-4"/>
        <n v="1.0237363199999999E-3"/>
        <n v="1.0233857599999999E-3"/>
        <n v="1.0232332199999999E-3"/>
        <n v="1.0626804400000001E-3"/>
        <n v="1.0630711499999999E-3"/>
        <n v="1.0645031999999899E-3"/>
        <n v="9.4546723599999902E-4"/>
        <n v="9.4445276299999904E-4"/>
        <n v="9.4488531299999996E-4"/>
        <n v="9.9953756399999991E-4"/>
        <n v="1.00021511E-3"/>
        <n v="1.0001124159999999E-3"/>
        <n v="1.03652451E-3"/>
        <n v="1.03754466E-3"/>
        <n v="1.0364551200000001E-3"/>
      </sharedItems>
    </cacheField>
    <cacheField name="Lot Bin Wafer" numFmtId="0">
      <sharedItems count="1">
        <s v="P9KT98.AC_a_0"/>
      </sharedItems>
    </cacheField>
    <cacheField name="Part Number" numFmtId="0">
      <sharedItems count="3">
        <s v="Q0128"/>
        <s v="Q0134"/>
        <s v="Q0135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4" maxValue="231204" count="1">
        <n v="23120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0"/>
    <x v="0"/>
    <x v="0"/>
    <x v="0"/>
  </r>
  <r>
    <x v="0"/>
    <x v="2"/>
    <x v="0"/>
    <x v="2"/>
    <x v="2"/>
    <x v="2"/>
    <x v="2"/>
    <x v="2"/>
    <x v="2"/>
    <x v="0"/>
    <x v="0"/>
    <x v="0"/>
    <x v="0"/>
  </r>
  <r>
    <x v="1"/>
    <x v="0"/>
    <x v="0"/>
    <x v="3"/>
    <x v="3"/>
    <x v="3"/>
    <x v="3"/>
    <x v="3"/>
    <x v="3"/>
    <x v="0"/>
    <x v="0"/>
    <x v="0"/>
    <x v="0"/>
  </r>
  <r>
    <x v="1"/>
    <x v="1"/>
    <x v="0"/>
    <x v="4"/>
    <x v="4"/>
    <x v="4"/>
    <x v="4"/>
    <x v="4"/>
    <x v="4"/>
    <x v="0"/>
    <x v="0"/>
    <x v="0"/>
    <x v="0"/>
  </r>
  <r>
    <x v="1"/>
    <x v="2"/>
    <x v="0"/>
    <x v="5"/>
    <x v="5"/>
    <x v="5"/>
    <x v="5"/>
    <x v="5"/>
    <x v="5"/>
    <x v="0"/>
    <x v="0"/>
    <x v="0"/>
    <x v="0"/>
  </r>
  <r>
    <x v="2"/>
    <x v="0"/>
    <x v="0"/>
    <x v="6"/>
    <x v="6"/>
    <x v="6"/>
    <x v="6"/>
    <x v="6"/>
    <x v="6"/>
    <x v="0"/>
    <x v="0"/>
    <x v="0"/>
    <x v="0"/>
  </r>
  <r>
    <x v="2"/>
    <x v="1"/>
    <x v="0"/>
    <x v="7"/>
    <x v="7"/>
    <x v="7"/>
    <x v="7"/>
    <x v="7"/>
    <x v="7"/>
    <x v="0"/>
    <x v="0"/>
    <x v="0"/>
    <x v="0"/>
  </r>
  <r>
    <x v="2"/>
    <x v="2"/>
    <x v="0"/>
    <x v="8"/>
    <x v="8"/>
    <x v="8"/>
    <x v="8"/>
    <x v="8"/>
    <x v="8"/>
    <x v="0"/>
    <x v="0"/>
    <x v="0"/>
    <x v="0"/>
  </r>
  <r>
    <x v="0"/>
    <x v="0"/>
    <x v="0"/>
    <x v="9"/>
    <x v="9"/>
    <x v="9"/>
    <x v="9"/>
    <x v="9"/>
    <x v="9"/>
    <x v="0"/>
    <x v="1"/>
    <x v="0"/>
    <x v="0"/>
  </r>
  <r>
    <x v="0"/>
    <x v="1"/>
    <x v="0"/>
    <x v="10"/>
    <x v="10"/>
    <x v="10"/>
    <x v="10"/>
    <x v="10"/>
    <x v="10"/>
    <x v="0"/>
    <x v="1"/>
    <x v="0"/>
    <x v="0"/>
  </r>
  <r>
    <x v="0"/>
    <x v="2"/>
    <x v="0"/>
    <x v="11"/>
    <x v="11"/>
    <x v="11"/>
    <x v="11"/>
    <x v="11"/>
    <x v="11"/>
    <x v="0"/>
    <x v="1"/>
    <x v="0"/>
    <x v="0"/>
  </r>
  <r>
    <x v="1"/>
    <x v="0"/>
    <x v="0"/>
    <x v="12"/>
    <x v="12"/>
    <x v="12"/>
    <x v="12"/>
    <x v="12"/>
    <x v="12"/>
    <x v="0"/>
    <x v="1"/>
    <x v="0"/>
    <x v="0"/>
  </r>
  <r>
    <x v="1"/>
    <x v="1"/>
    <x v="0"/>
    <x v="13"/>
    <x v="13"/>
    <x v="13"/>
    <x v="13"/>
    <x v="13"/>
    <x v="13"/>
    <x v="0"/>
    <x v="1"/>
    <x v="0"/>
    <x v="0"/>
  </r>
  <r>
    <x v="1"/>
    <x v="2"/>
    <x v="0"/>
    <x v="14"/>
    <x v="14"/>
    <x v="14"/>
    <x v="14"/>
    <x v="14"/>
    <x v="14"/>
    <x v="0"/>
    <x v="1"/>
    <x v="0"/>
    <x v="0"/>
  </r>
  <r>
    <x v="2"/>
    <x v="0"/>
    <x v="0"/>
    <x v="15"/>
    <x v="15"/>
    <x v="15"/>
    <x v="15"/>
    <x v="15"/>
    <x v="15"/>
    <x v="0"/>
    <x v="1"/>
    <x v="0"/>
    <x v="0"/>
  </r>
  <r>
    <x v="2"/>
    <x v="1"/>
    <x v="0"/>
    <x v="16"/>
    <x v="16"/>
    <x v="16"/>
    <x v="16"/>
    <x v="16"/>
    <x v="16"/>
    <x v="0"/>
    <x v="1"/>
    <x v="0"/>
    <x v="0"/>
  </r>
  <r>
    <x v="2"/>
    <x v="2"/>
    <x v="0"/>
    <x v="17"/>
    <x v="17"/>
    <x v="17"/>
    <x v="17"/>
    <x v="17"/>
    <x v="17"/>
    <x v="0"/>
    <x v="1"/>
    <x v="0"/>
    <x v="0"/>
  </r>
  <r>
    <x v="0"/>
    <x v="0"/>
    <x v="0"/>
    <x v="18"/>
    <x v="18"/>
    <x v="18"/>
    <x v="18"/>
    <x v="18"/>
    <x v="18"/>
    <x v="0"/>
    <x v="2"/>
    <x v="0"/>
    <x v="0"/>
  </r>
  <r>
    <x v="0"/>
    <x v="1"/>
    <x v="0"/>
    <x v="19"/>
    <x v="19"/>
    <x v="19"/>
    <x v="19"/>
    <x v="19"/>
    <x v="19"/>
    <x v="0"/>
    <x v="2"/>
    <x v="0"/>
    <x v="0"/>
  </r>
  <r>
    <x v="0"/>
    <x v="2"/>
    <x v="0"/>
    <x v="20"/>
    <x v="20"/>
    <x v="20"/>
    <x v="20"/>
    <x v="20"/>
    <x v="20"/>
    <x v="0"/>
    <x v="2"/>
    <x v="0"/>
    <x v="0"/>
  </r>
  <r>
    <x v="1"/>
    <x v="0"/>
    <x v="0"/>
    <x v="21"/>
    <x v="21"/>
    <x v="21"/>
    <x v="21"/>
    <x v="21"/>
    <x v="21"/>
    <x v="0"/>
    <x v="2"/>
    <x v="0"/>
    <x v="0"/>
  </r>
  <r>
    <x v="1"/>
    <x v="1"/>
    <x v="0"/>
    <x v="22"/>
    <x v="22"/>
    <x v="22"/>
    <x v="22"/>
    <x v="22"/>
    <x v="22"/>
    <x v="0"/>
    <x v="2"/>
    <x v="0"/>
    <x v="0"/>
  </r>
  <r>
    <x v="1"/>
    <x v="2"/>
    <x v="0"/>
    <x v="23"/>
    <x v="23"/>
    <x v="23"/>
    <x v="23"/>
    <x v="23"/>
    <x v="23"/>
    <x v="0"/>
    <x v="2"/>
    <x v="0"/>
    <x v="0"/>
  </r>
  <r>
    <x v="2"/>
    <x v="0"/>
    <x v="0"/>
    <x v="24"/>
    <x v="24"/>
    <x v="24"/>
    <x v="24"/>
    <x v="24"/>
    <x v="24"/>
    <x v="0"/>
    <x v="2"/>
    <x v="0"/>
    <x v="0"/>
  </r>
  <r>
    <x v="2"/>
    <x v="1"/>
    <x v="0"/>
    <x v="25"/>
    <x v="25"/>
    <x v="25"/>
    <x v="25"/>
    <x v="25"/>
    <x v="25"/>
    <x v="0"/>
    <x v="2"/>
    <x v="0"/>
    <x v="0"/>
  </r>
  <r>
    <x v="2"/>
    <x v="2"/>
    <x v="0"/>
    <x v="26"/>
    <x v="26"/>
    <x v="26"/>
    <x v="26"/>
    <x v="26"/>
    <x v="26"/>
    <x v="0"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BBE14-6465-47D6-9BF5-CD82EBC6ACD6}" name="DataPivotTable" cacheId="308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4:F17" firstHeaderRow="1" firstDataRow="2" firstDataCol="2" rowPageCount="2" colPageCount="1"/>
  <pivotFields count="13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compact="0" showAll="0" defaultSubtotal="0">
      <items count="27">
        <item x="2"/>
        <item x="1"/>
        <item x="0"/>
        <item x="9"/>
        <item x="10"/>
        <item x="19"/>
        <item x="20"/>
        <item x="18"/>
        <item x="11"/>
        <item x="4"/>
        <item x="5"/>
        <item x="22"/>
        <item x="23"/>
        <item x="3"/>
        <item x="21"/>
        <item x="12"/>
        <item x="13"/>
        <item x="14"/>
        <item x="8"/>
        <item x="15"/>
        <item x="6"/>
        <item x="7"/>
        <item x="26"/>
        <item x="24"/>
        <item x="16"/>
        <item x="25"/>
        <item x="17"/>
      </items>
    </pivotField>
    <pivotField dataField="1" compact="0" numFmtId="11" showAll="0" defaultSubtotal="0">
      <items count="27">
        <item x="1"/>
        <item x="0"/>
        <item x="2"/>
        <item x="20"/>
        <item x="18"/>
        <item x="19"/>
        <item x="9"/>
        <item x="3"/>
        <item x="12"/>
        <item x="4"/>
        <item x="11"/>
        <item x="10"/>
        <item x="5"/>
        <item x="13"/>
        <item x="22"/>
        <item x="21"/>
        <item x="23"/>
        <item x="14"/>
        <item x="24"/>
        <item x="25"/>
        <item x="26"/>
        <item x="17"/>
        <item x="7"/>
        <item x="16"/>
        <item x="8"/>
        <item x="15"/>
        <item x="6"/>
      </items>
    </pivotField>
    <pivotField compact="0" showAll="0" defaultSubtotal="0">
      <items count="27">
        <item x="15"/>
        <item x="12"/>
        <item x="18"/>
        <item x="24"/>
        <item x="3"/>
        <item x="21"/>
        <item x="6"/>
        <item x="0"/>
        <item x="9"/>
        <item x="22"/>
        <item x="10"/>
        <item x="7"/>
        <item x="19"/>
        <item x="25"/>
        <item x="4"/>
        <item x="13"/>
        <item x="16"/>
        <item x="1"/>
        <item x="20"/>
        <item x="8"/>
        <item x="14"/>
        <item x="5"/>
        <item x="23"/>
        <item x="17"/>
        <item x="26"/>
        <item x="2"/>
        <item x="11"/>
      </items>
    </pivotField>
    <pivotField dataField="1" compact="0" showAll="0" defaultSubtotal="0">
      <items count="27">
        <item x="6"/>
        <item x="3"/>
        <item x="0"/>
        <item x="24"/>
        <item x="21"/>
        <item x="18"/>
        <item x="15"/>
        <item x="12"/>
        <item x="9"/>
        <item x="7"/>
        <item x="4"/>
        <item x="1"/>
        <item x="25"/>
        <item x="22"/>
        <item x="19"/>
        <item x="16"/>
        <item x="13"/>
        <item x="10"/>
        <item x="8"/>
        <item x="5"/>
        <item x="2"/>
        <item x="26"/>
        <item x="23"/>
        <item x="20"/>
        <item x="17"/>
        <item x="14"/>
        <item x="11"/>
      </items>
    </pivotField>
    <pivotField compact="0" showAll="0" defaultSubtotal="0">
      <items count="27">
        <item x="3"/>
        <item x="11"/>
        <item x="12"/>
        <item x="17"/>
        <item x="1"/>
        <item x="9"/>
        <item x="13"/>
        <item x="0"/>
        <item x="10"/>
        <item x="24"/>
        <item x="2"/>
        <item x="8"/>
        <item x="4"/>
        <item x="5"/>
        <item x="21"/>
        <item x="23"/>
        <item x="25"/>
        <item x="22"/>
        <item x="6"/>
        <item x="20"/>
        <item x="7"/>
        <item x="14"/>
        <item x="16"/>
        <item x="18"/>
        <item x="15"/>
        <item x="26"/>
        <item x="19"/>
      </items>
    </pivotField>
    <pivotField dataField="1" compact="0" showAll="0" defaultSubtotal="0">
      <items count="27">
        <item x="2"/>
        <item x="1"/>
        <item x="0"/>
        <item x="3"/>
        <item x="4"/>
        <item x="5"/>
        <item x="19"/>
        <item x="20"/>
        <item x="18"/>
        <item x="11"/>
        <item x="9"/>
        <item x="10"/>
        <item x="6"/>
        <item x="7"/>
        <item x="8"/>
        <item x="21"/>
        <item x="23"/>
        <item x="22"/>
        <item x="14"/>
        <item x="13"/>
        <item x="12"/>
        <item x="26"/>
        <item x="24"/>
        <item x="25"/>
        <item x="15"/>
        <item x="16"/>
        <item x="17"/>
      </items>
    </pivotField>
    <pivotField compact="0" showAll="0" defaultSubtotal="0">
      <items count="1">
        <item x="0"/>
      </items>
    </pivotField>
    <pivotField axis="axisPage" compact="0" showAll="0" defaultSubtotal="0">
      <items count="3">
        <item x="0"/>
        <item x="1"/>
        <item x="2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2">
    <field x="0"/>
    <field x="1"/>
  </rowFields>
  <rowItems count="12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2">
    <pageField fld="10" item="1" hier="-1"/>
    <pageField fld="11" hier="-1"/>
  </pageFields>
  <dataFields count="3">
    <dataField name="Average of Idd D-Sleep" fld="4" subtotal="average" baseField="0" baseItem="0"/>
    <dataField name="Average of Idd18 D-Sleep" fld="6" subtotal="average" baseField="0" baseItem="0"/>
    <dataField name="Average of IddIO D-Sleep" fld="8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46638-9E4F-465B-BA63-24ACEA507547}">
  <sheetPr codeName="Sheet3"/>
  <dimension ref="B1:F17"/>
  <sheetViews>
    <sheetView workbookViewId="0">
      <selection activeCell="G29" sqref="G29"/>
    </sheetView>
  </sheetViews>
  <sheetFormatPr defaultRowHeight="15" x14ac:dyDescent="0.25"/>
  <cols>
    <col min="2" max="2" width="13.140625" bestFit="1" customWidth="1"/>
    <col min="3" max="3" width="8.85546875" bestFit="1" customWidth="1"/>
    <col min="4" max="4" width="21.7109375" bestFit="1" customWidth="1"/>
    <col min="5" max="6" width="23.7109375" bestFit="1" customWidth="1"/>
  </cols>
  <sheetData>
    <row r="1" spans="2:6" x14ac:dyDescent="0.25">
      <c r="B1" s="1" t="s">
        <v>2</v>
      </c>
      <c r="C1" t="s">
        <v>9</v>
      </c>
    </row>
    <row r="2" spans="2:6" x14ac:dyDescent="0.25">
      <c r="B2" s="1" t="s">
        <v>3</v>
      </c>
      <c r="C2" t="s">
        <v>5</v>
      </c>
    </row>
    <row r="4" spans="2:6" x14ac:dyDescent="0.25">
      <c r="D4" s="1" t="s">
        <v>4</v>
      </c>
    </row>
    <row r="5" spans="2:6" x14ac:dyDescent="0.25">
      <c r="B5" s="1" t="s">
        <v>0</v>
      </c>
      <c r="C5" s="1" t="s">
        <v>1</v>
      </c>
      <c r="D5" t="s">
        <v>6</v>
      </c>
      <c r="E5" t="s">
        <v>7</v>
      </c>
      <c r="F5" t="s">
        <v>8</v>
      </c>
    </row>
    <row r="6" spans="2:6" x14ac:dyDescent="0.25">
      <c r="B6">
        <v>0.72</v>
      </c>
      <c r="D6" s="2"/>
      <c r="E6" s="2"/>
      <c r="F6" s="2"/>
    </row>
    <row r="7" spans="2:6" x14ac:dyDescent="0.25">
      <c r="C7">
        <v>1.62</v>
      </c>
      <c r="D7" s="2">
        <v>4.32336735699999E-9</v>
      </c>
      <c r="E7" s="2">
        <v>5.7436431599999999E-5</v>
      </c>
      <c r="F7" s="2">
        <v>9.7000780299999999E-4</v>
      </c>
    </row>
    <row r="8" spans="2:6" x14ac:dyDescent="0.25">
      <c r="C8">
        <v>1.8</v>
      </c>
      <c r="D8" s="2">
        <v>2.6566662890000001E-8</v>
      </c>
      <c r="E8" s="2">
        <v>1.14140434999999E-4</v>
      </c>
      <c r="F8" s="2">
        <v>9.7078623799999998E-4</v>
      </c>
    </row>
    <row r="9" spans="2:6" x14ac:dyDescent="0.25">
      <c r="C9">
        <v>1.98</v>
      </c>
      <c r="D9" s="2">
        <v>1.8398410078999999E-8</v>
      </c>
      <c r="E9" s="2">
        <v>2.06671550999999E-4</v>
      </c>
      <c r="F9" s="2">
        <v>9.6810573899999903E-4</v>
      </c>
    </row>
    <row r="10" spans="2:6" x14ac:dyDescent="0.25">
      <c r="B10">
        <v>0.8</v>
      </c>
      <c r="D10" s="2"/>
      <c r="E10" s="2"/>
      <c r="F10" s="2"/>
    </row>
    <row r="11" spans="2:6" x14ac:dyDescent="0.25">
      <c r="C11">
        <v>1.62</v>
      </c>
      <c r="D11" s="2">
        <v>1.3126620090000001E-8</v>
      </c>
      <c r="E11" s="2">
        <v>5.6474328899999997E-5</v>
      </c>
      <c r="F11" s="2">
        <v>1.0237363199999999E-3</v>
      </c>
    </row>
    <row r="12" spans="2:6" x14ac:dyDescent="0.25">
      <c r="C12">
        <v>1.8</v>
      </c>
      <c r="D12" s="2">
        <v>5.8077210765999898E-8</v>
      </c>
      <c r="E12" s="2">
        <v>1.12944923999999E-4</v>
      </c>
      <c r="F12" s="2">
        <v>1.0233857599999999E-3</v>
      </c>
    </row>
    <row r="13" spans="2:6" x14ac:dyDescent="0.25">
      <c r="C13">
        <v>1.98</v>
      </c>
      <c r="D13" s="2">
        <v>9.6645651260000001E-8</v>
      </c>
      <c r="E13" s="2">
        <v>2.05118769E-4</v>
      </c>
      <c r="F13" s="2">
        <v>1.0232332199999999E-3</v>
      </c>
    </row>
    <row r="14" spans="2:6" x14ac:dyDescent="0.25">
      <c r="B14">
        <v>0.88</v>
      </c>
      <c r="D14" s="2"/>
      <c r="E14" s="2"/>
      <c r="F14" s="2"/>
    </row>
    <row r="15" spans="2:6" x14ac:dyDescent="0.25">
      <c r="C15">
        <v>1.62</v>
      </c>
      <c r="D15" s="2">
        <v>3.2424281950000001E-7</v>
      </c>
      <c r="E15" s="2">
        <v>5.5725326399999997E-5</v>
      </c>
      <c r="F15" s="2">
        <v>1.0626804400000001E-3</v>
      </c>
    </row>
    <row r="16" spans="2:6" x14ac:dyDescent="0.25">
      <c r="C16">
        <v>1.8</v>
      </c>
      <c r="D16" s="2">
        <v>3.22097255E-7</v>
      </c>
      <c r="E16" s="2">
        <v>1.11939118E-4</v>
      </c>
      <c r="F16" s="2">
        <v>1.0630711499999999E-3</v>
      </c>
    </row>
    <row r="17" spans="3:6" x14ac:dyDescent="0.25">
      <c r="C17">
        <v>1.98</v>
      </c>
      <c r="D17" s="2">
        <v>3.11909156E-7</v>
      </c>
      <c r="E17" s="2">
        <v>2.0355271299999999E-4</v>
      </c>
      <c r="F17" s="2">
        <v>1.0645031999999899E-3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C7" sqref="C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2023-12-07T19:18:47Z</dcterms:modified>
</cp:coreProperties>
</file>