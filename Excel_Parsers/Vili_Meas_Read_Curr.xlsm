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C1BED7B6-72F2-432A-B9D6-C157C9B9E366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Pivot Table" sheetId="65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376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<sst xmlns="http://schemas.openxmlformats.org/spreadsheetml/2006/main" count="25" uniqueCount="19">
  <si>
    <t>Part Number</t>
  </si>
  <si>
    <t>(All)</t>
  </si>
  <si>
    <t>Vdd</t>
  </si>
  <si>
    <t>Vdd18</t>
  </si>
  <si>
    <t>Vreg_trm</t>
  </si>
  <si>
    <t>read-data</t>
  </si>
  <si>
    <t>ckbd-0xaa</t>
  </si>
  <si>
    <t>solid0x00</t>
  </si>
  <si>
    <t>solid0xff</t>
  </si>
  <si>
    <t>Average of sys_clk_period[ns]</t>
  </si>
  <si>
    <t>Values</t>
  </si>
  <si>
    <t>Average of sys_clk_freq[MHz]</t>
  </si>
  <si>
    <t>Average of pre-bck_grd_iddr[mA]</t>
  </si>
  <si>
    <t>Average of pre-bck_grd_idd18r[mA]</t>
  </si>
  <si>
    <t>Average of read speed[ns]</t>
  </si>
  <si>
    <t>Average of iddr[mA]</t>
  </si>
  <si>
    <t>Average of idd18r[mA]</t>
  </si>
  <si>
    <t>sys_osc_target_freq[MHz]</t>
  </si>
  <si>
    <t>Q0128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</si>
</sst>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67.604209143516" createdVersion="3" refreshedVersion="8" minRefreshableVersion="3" recordCount="27" xr:uid="{4332B921-9CF4-4159-9306-E64ADD862560}">
  <cacheSource type="worksheet">
    <worksheetSource ref="A1:Q28" sheet="Data"/>
  </cacheSource>
  <cacheFields count="17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sys_osc_trim" numFmtId="0">
      <sharedItems count="1">
        <s v="0x9f"/>
      </sharedItems>
    </cacheField>
    <cacheField name="sys_osc_target_freq[MHz]" numFmtId="0">
      <sharedItems containsSemiMixedTypes="0" containsString="0" containsNumber="1" containsInteger="1" minValue="200" maxValue="200" count="1">
        <n v="200"/>
      </sharedItems>
    </cacheField>
    <cacheField name="sys_clk_period[ns]" numFmtId="0">
      <sharedItems containsSemiMixedTypes="0" containsString="0" containsNumber="1" minValue="4.973306" maxValue="5.0806069999999997" count="9">
        <n v="4.9735899999999997"/>
        <n v="4.9893280000000004"/>
        <n v="4.973306"/>
        <n v="5.0678859999999997"/>
        <n v="5.0806069999999997"/>
        <n v="5.0799640000000004"/>
        <n v="5.0411190000000001"/>
        <n v="5.0659890000000001"/>
        <n v="5.0098789999999997"/>
      </sharedItems>
    </cacheField>
    <cacheField name="sys_clk_freq[MHz]" numFmtId="0">
      <sharedItems containsSemiMixedTypes="0" containsString="0" containsNumber="1" minValue="196.83" maxValue="201.07" count="9">
        <n v="201.06"/>
        <n v="200.43"/>
        <n v="201.07"/>
        <n v="197.32"/>
        <n v="196.83"/>
        <n v="196.85"/>
        <n v="198.37"/>
        <n v="197.39"/>
        <n v="199.61"/>
      </sharedItems>
    </cacheField>
    <cacheField name="pre-bck_grd_iddr[mA]" numFmtId="0">
      <sharedItems containsSemiMixedTypes="0" containsString="0" containsNumber="1" minValue="2.35025" maxValue="3.0465629999999999" count="9">
        <n v="2.35025"/>
        <n v="2.3766250000000002"/>
        <n v="2.3838750000000002"/>
        <n v="2.626938"/>
        <n v="2.6733750000000001"/>
        <n v="2.665813"/>
        <n v="2.9920010000000001"/>
        <n v="3.0071249999999998"/>
        <n v="3.0465629999999999"/>
      </sharedItems>
    </cacheField>
    <cacheField name="pre-bck_grd_idd18r[mA]" numFmtId="0">
      <sharedItems containsSemiMixedTypes="0" containsString="0" containsNumber="1" minValue="3.2885010000000001" maxValue="4.7523770000000001" count="9">
        <n v="3.2885010000000001"/>
        <n v="3.3118750000000001"/>
        <n v="3.31725"/>
        <n v="4.0034999999999998"/>
        <n v="4.0039379999999998"/>
        <n v="4.0203759999999997"/>
        <n v="4.739814"/>
        <n v="4.7523770000000001"/>
        <n v="4.7514390000000004"/>
      </sharedItems>
    </cacheField>
    <cacheField name="Vreg_trm" numFmtId="0">
      <sharedItems count="1">
        <s v="0x05"/>
      </sharedItems>
    </cacheField>
    <cacheField name="read speed[ns]" numFmtId="0">
      <sharedItems containsSemiMixedTypes="0" containsString="0" containsNumber="1" containsInteger="1" minValue="3" maxValue="10" count="3">
        <n v="3"/>
        <n v="5"/>
        <n v="10"/>
      </sharedItems>
    </cacheField>
    <cacheField name="read-data" numFmtId="0">
      <sharedItems count="3">
        <s v="ckbd-0xaa"/>
        <s v="solid0x00"/>
        <s v="solid0xff"/>
      </sharedItems>
    </cacheField>
    <cacheField name="iddr[mA]" numFmtId="0">
      <sharedItems containsSemiMixedTypes="0" containsString="0" containsNumber="1" minValue="3.3303120000000002" maxValue="6.5608120000000003" count="27">
        <n v="4.8187519999999999"/>
        <n v="3.3303120000000002"/>
        <n v="3.3384390000000002"/>
        <n v="4.9392519999999998"/>
        <n v="3.373688"/>
        <n v="3.434752"/>
        <n v="5.2793770000000002"/>
        <n v="3.6726260000000002"/>
        <n v="3.7377509999999998"/>
        <n v="5.3766259999999999"/>
        <n v="3.7282510000000002"/>
        <n v="3.7173759999999998"/>
        <n v="5.4933139999999998"/>
        <n v="3.7649370000000002"/>
        <n v="3.8169379999999999"/>
        <n v="5.8768130000000003"/>
        <n v="4.0981880000000004"/>
        <n v="4.1623760000000001"/>
        <n v="6.0488119999999999"/>
        <n v="4.1653130000000003"/>
        <n v="4.154439"/>
        <n v="6.1921249999999999"/>
        <n v="4.2258760000000004"/>
        <n v="4.2716260000000004"/>
        <n v="6.5608120000000003"/>
        <n v="4.5521260000000003"/>
        <n v="4.6161890000000003"/>
      </sharedItems>
    </cacheField>
    <cacheField name="idd18r[mA]" numFmtId="0">
      <sharedItems containsSemiMixedTypes="0" containsString="0" containsNumber="1" minValue="3.1908120000000002" maxValue="4.6450639999999996" count="27">
        <n v="3.1908120000000002"/>
        <n v="3.1937509999999998"/>
        <n v="3.1958760000000002"/>
        <n v="3.2049989999999999"/>
        <n v="3.1915010000000001"/>
        <n v="3.1998129999999998"/>
        <n v="3.2113130000000001"/>
        <n v="3.2086260000000002"/>
        <n v="3.223001"/>
        <n v="3.8865630000000002"/>
        <n v="3.891438"/>
        <n v="3.8919389999999998"/>
        <n v="3.8967510000000001"/>
        <n v="3.8975010000000001"/>
        <n v="3.8991250000000002"/>
        <n v="3.9208750000000001"/>
        <n v="3.9097520000000001"/>
        <n v="3.9106260000000002"/>
        <n v="4.6208130000000001"/>
        <n v="4.6298139999999997"/>
        <n v="4.6223140000000003"/>
        <n v="4.637251"/>
        <n v="4.6314380000000002"/>
        <n v="4.6274379999999997"/>
        <n v="4.6440010000000003"/>
        <n v="4.6450639999999996"/>
        <n v="4.6371270000000004"/>
      </sharedItems>
    </cacheField>
    <cacheField name="Lot Bin Wafer" numFmtId="0">
      <sharedItems count="1">
        <s v="P9KT98.AC_a_0"/>
      </sharedItems>
    </cacheField>
    <cacheField name="Part Number" numFmtId="0">
      <sharedItems count="1">
        <s v="Q0128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31207" maxValue="231207" count="1">
        <n v="23120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1"/>
    <x v="1"/>
    <x v="1"/>
    <x v="0"/>
    <x v="0"/>
    <x v="0"/>
    <x v="0"/>
  </r>
  <r>
    <x v="0"/>
    <x v="0"/>
    <x v="0"/>
    <x v="0"/>
    <x v="0"/>
    <x v="0"/>
    <x v="0"/>
    <x v="0"/>
    <x v="0"/>
    <x v="0"/>
    <x v="2"/>
    <x v="2"/>
    <x v="2"/>
    <x v="0"/>
    <x v="0"/>
    <x v="0"/>
    <x v="0"/>
  </r>
  <r>
    <x v="0"/>
    <x v="0"/>
    <x v="0"/>
    <x v="0"/>
    <x v="1"/>
    <x v="1"/>
    <x v="1"/>
    <x v="1"/>
    <x v="0"/>
    <x v="1"/>
    <x v="0"/>
    <x v="3"/>
    <x v="3"/>
    <x v="0"/>
    <x v="0"/>
    <x v="0"/>
    <x v="0"/>
  </r>
  <r>
    <x v="0"/>
    <x v="0"/>
    <x v="0"/>
    <x v="0"/>
    <x v="1"/>
    <x v="1"/>
    <x v="1"/>
    <x v="1"/>
    <x v="0"/>
    <x v="1"/>
    <x v="1"/>
    <x v="4"/>
    <x v="4"/>
    <x v="0"/>
    <x v="0"/>
    <x v="0"/>
    <x v="0"/>
  </r>
  <r>
    <x v="0"/>
    <x v="0"/>
    <x v="0"/>
    <x v="0"/>
    <x v="1"/>
    <x v="1"/>
    <x v="1"/>
    <x v="1"/>
    <x v="0"/>
    <x v="1"/>
    <x v="2"/>
    <x v="5"/>
    <x v="5"/>
    <x v="0"/>
    <x v="0"/>
    <x v="0"/>
    <x v="0"/>
  </r>
  <r>
    <x v="0"/>
    <x v="0"/>
    <x v="0"/>
    <x v="0"/>
    <x v="2"/>
    <x v="2"/>
    <x v="2"/>
    <x v="2"/>
    <x v="0"/>
    <x v="2"/>
    <x v="0"/>
    <x v="6"/>
    <x v="6"/>
    <x v="0"/>
    <x v="0"/>
    <x v="0"/>
    <x v="0"/>
  </r>
  <r>
    <x v="0"/>
    <x v="0"/>
    <x v="0"/>
    <x v="0"/>
    <x v="2"/>
    <x v="2"/>
    <x v="2"/>
    <x v="2"/>
    <x v="0"/>
    <x v="2"/>
    <x v="1"/>
    <x v="7"/>
    <x v="7"/>
    <x v="0"/>
    <x v="0"/>
    <x v="0"/>
    <x v="0"/>
  </r>
  <r>
    <x v="0"/>
    <x v="0"/>
    <x v="0"/>
    <x v="0"/>
    <x v="2"/>
    <x v="2"/>
    <x v="2"/>
    <x v="2"/>
    <x v="0"/>
    <x v="2"/>
    <x v="2"/>
    <x v="8"/>
    <x v="8"/>
    <x v="0"/>
    <x v="0"/>
    <x v="0"/>
    <x v="0"/>
  </r>
  <r>
    <x v="1"/>
    <x v="1"/>
    <x v="0"/>
    <x v="0"/>
    <x v="3"/>
    <x v="3"/>
    <x v="3"/>
    <x v="3"/>
    <x v="0"/>
    <x v="0"/>
    <x v="0"/>
    <x v="9"/>
    <x v="9"/>
    <x v="0"/>
    <x v="0"/>
    <x v="0"/>
    <x v="0"/>
  </r>
  <r>
    <x v="1"/>
    <x v="1"/>
    <x v="0"/>
    <x v="0"/>
    <x v="3"/>
    <x v="3"/>
    <x v="3"/>
    <x v="3"/>
    <x v="0"/>
    <x v="0"/>
    <x v="1"/>
    <x v="10"/>
    <x v="10"/>
    <x v="0"/>
    <x v="0"/>
    <x v="0"/>
    <x v="0"/>
  </r>
  <r>
    <x v="1"/>
    <x v="1"/>
    <x v="0"/>
    <x v="0"/>
    <x v="3"/>
    <x v="3"/>
    <x v="3"/>
    <x v="3"/>
    <x v="0"/>
    <x v="0"/>
    <x v="2"/>
    <x v="11"/>
    <x v="11"/>
    <x v="0"/>
    <x v="0"/>
    <x v="0"/>
    <x v="0"/>
  </r>
  <r>
    <x v="1"/>
    <x v="1"/>
    <x v="0"/>
    <x v="0"/>
    <x v="4"/>
    <x v="4"/>
    <x v="4"/>
    <x v="4"/>
    <x v="0"/>
    <x v="1"/>
    <x v="0"/>
    <x v="12"/>
    <x v="12"/>
    <x v="0"/>
    <x v="0"/>
    <x v="0"/>
    <x v="0"/>
  </r>
  <r>
    <x v="1"/>
    <x v="1"/>
    <x v="0"/>
    <x v="0"/>
    <x v="4"/>
    <x v="4"/>
    <x v="4"/>
    <x v="4"/>
    <x v="0"/>
    <x v="1"/>
    <x v="1"/>
    <x v="13"/>
    <x v="13"/>
    <x v="0"/>
    <x v="0"/>
    <x v="0"/>
    <x v="0"/>
  </r>
  <r>
    <x v="1"/>
    <x v="1"/>
    <x v="0"/>
    <x v="0"/>
    <x v="4"/>
    <x v="4"/>
    <x v="4"/>
    <x v="4"/>
    <x v="0"/>
    <x v="1"/>
    <x v="2"/>
    <x v="14"/>
    <x v="14"/>
    <x v="0"/>
    <x v="0"/>
    <x v="0"/>
    <x v="0"/>
  </r>
  <r>
    <x v="1"/>
    <x v="1"/>
    <x v="0"/>
    <x v="0"/>
    <x v="5"/>
    <x v="5"/>
    <x v="5"/>
    <x v="5"/>
    <x v="0"/>
    <x v="2"/>
    <x v="0"/>
    <x v="15"/>
    <x v="15"/>
    <x v="0"/>
    <x v="0"/>
    <x v="0"/>
    <x v="0"/>
  </r>
  <r>
    <x v="1"/>
    <x v="1"/>
    <x v="0"/>
    <x v="0"/>
    <x v="5"/>
    <x v="5"/>
    <x v="5"/>
    <x v="5"/>
    <x v="0"/>
    <x v="2"/>
    <x v="1"/>
    <x v="16"/>
    <x v="16"/>
    <x v="0"/>
    <x v="0"/>
    <x v="0"/>
    <x v="0"/>
  </r>
  <r>
    <x v="1"/>
    <x v="1"/>
    <x v="0"/>
    <x v="0"/>
    <x v="5"/>
    <x v="5"/>
    <x v="5"/>
    <x v="5"/>
    <x v="0"/>
    <x v="2"/>
    <x v="2"/>
    <x v="17"/>
    <x v="17"/>
    <x v="0"/>
    <x v="0"/>
    <x v="0"/>
    <x v="0"/>
  </r>
  <r>
    <x v="2"/>
    <x v="2"/>
    <x v="0"/>
    <x v="0"/>
    <x v="6"/>
    <x v="6"/>
    <x v="6"/>
    <x v="6"/>
    <x v="0"/>
    <x v="0"/>
    <x v="0"/>
    <x v="18"/>
    <x v="18"/>
    <x v="0"/>
    <x v="0"/>
    <x v="0"/>
    <x v="0"/>
  </r>
  <r>
    <x v="2"/>
    <x v="2"/>
    <x v="0"/>
    <x v="0"/>
    <x v="6"/>
    <x v="6"/>
    <x v="6"/>
    <x v="6"/>
    <x v="0"/>
    <x v="0"/>
    <x v="1"/>
    <x v="19"/>
    <x v="19"/>
    <x v="0"/>
    <x v="0"/>
    <x v="0"/>
    <x v="0"/>
  </r>
  <r>
    <x v="2"/>
    <x v="2"/>
    <x v="0"/>
    <x v="0"/>
    <x v="6"/>
    <x v="6"/>
    <x v="6"/>
    <x v="6"/>
    <x v="0"/>
    <x v="0"/>
    <x v="2"/>
    <x v="20"/>
    <x v="20"/>
    <x v="0"/>
    <x v="0"/>
    <x v="0"/>
    <x v="0"/>
  </r>
  <r>
    <x v="2"/>
    <x v="2"/>
    <x v="0"/>
    <x v="0"/>
    <x v="7"/>
    <x v="7"/>
    <x v="7"/>
    <x v="7"/>
    <x v="0"/>
    <x v="1"/>
    <x v="0"/>
    <x v="21"/>
    <x v="21"/>
    <x v="0"/>
    <x v="0"/>
    <x v="0"/>
    <x v="0"/>
  </r>
  <r>
    <x v="2"/>
    <x v="2"/>
    <x v="0"/>
    <x v="0"/>
    <x v="7"/>
    <x v="7"/>
    <x v="7"/>
    <x v="7"/>
    <x v="0"/>
    <x v="1"/>
    <x v="1"/>
    <x v="22"/>
    <x v="22"/>
    <x v="0"/>
    <x v="0"/>
    <x v="0"/>
    <x v="0"/>
  </r>
  <r>
    <x v="2"/>
    <x v="2"/>
    <x v="0"/>
    <x v="0"/>
    <x v="7"/>
    <x v="7"/>
    <x v="7"/>
    <x v="7"/>
    <x v="0"/>
    <x v="1"/>
    <x v="2"/>
    <x v="23"/>
    <x v="23"/>
    <x v="0"/>
    <x v="0"/>
    <x v="0"/>
    <x v="0"/>
  </r>
  <r>
    <x v="2"/>
    <x v="2"/>
    <x v="0"/>
    <x v="0"/>
    <x v="8"/>
    <x v="8"/>
    <x v="8"/>
    <x v="8"/>
    <x v="0"/>
    <x v="2"/>
    <x v="0"/>
    <x v="24"/>
    <x v="24"/>
    <x v="0"/>
    <x v="0"/>
    <x v="0"/>
    <x v="0"/>
  </r>
  <r>
    <x v="2"/>
    <x v="2"/>
    <x v="0"/>
    <x v="0"/>
    <x v="8"/>
    <x v="8"/>
    <x v="8"/>
    <x v="8"/>
    <x v="0"/>
    <x v="2"/>
    <x v="1"/>
    <x v="25"/>
    <x v="25"/>
    <x v="0"/>
    <x v="0"/>
    <x v="0"/>
    <x v="0"/>
  </r>
  <r>
    <x v="2"/>
    <x v="2"/>
    <x v="0"/>
    <x v="0"/>
    <x v="8"/>
    <x v="8"/>
    <x v="8"/>
    <x v="8"/>
    <x v="0"/>
    <x v="2"/>
    <x v="2"/>
    <x v="26"/>
    <x v="26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4BACDA-D09C-4172-9F8C-5DB7707258F4}" name="DataPivotTable" cacheId="376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3:M21" firstHeaderRow="1" firstDataRow="2" firstDataCol="5" rowPageCount="1" colPageCount="1"/>
  <pivotFields count="17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dataField="1" compact="0" showAll="0" defaultSubtotal="0">
      <items count="9">
        <item x="2"/>
        <item x="0"/>
        <item x="1"/>
        <item x="8"/>
        <item x="6"/>
        <item x="7"/>
        <item x="3"/>
        <item x="5"/>
        <item x="4"/>
      </items>
    </pivotField>
    <pivotField dataField="1" compact="0" showAll="0" defaultSubtotal="0">
      <items count="9">
        <item x="4"/>
        <item x="5"/>
        <item x="3"/>
        <item x="7"/>
        <item x="6"/>
        <item x="8"/>
        <item x="1"/>
        <item x="0"/>
        <item x="2"/>
      </items>
    </pivotField>
    <pivotField dataField="1" compact="0" showAll="0" defaultSubtotal="0">
      <items count="9">
        <item x="0"/>
        <item x="1"/>
        <item x="2"/>
        <item x="3"/>
        <item x="5"/>
        <item x="4"/>
        <item x="6"/>
        <item x="7"/>
        <item x="8"/>
      </items>
    </pivotField>
    <pivotField dataField="1" compact="0" showAll="0" defaultSubtotal="0">
      <items count="9">
        <item x="0"/>
        <item x="1"/>
        <item x="2"/>
        <item x="3"/>
        <item x="4"/>
        <item x="5"/>
        <item x="6"/>
        <item x="8"/>
        <item x="7"/>
      </items>
    </pivotField>
    <pivotField axis="axisPage" compact="0" showAll="0" defaultSubtotal="0">
      <items count="1">
        <item x="0"/>
      </items>
    </pivotField>
    <pivotField dataField="1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dataField="1" compact="0" showAll="0" defaultSubtotal="0">
      <items count="27">
        <item x="1"/>
        <item x="2"/>
        <item x="4"/>
        <item x="5"/>
        <item x="7"/>
        <item x="11"/>
        <item x="10"/>
        <item x="8"/>
        <item x="13"/>
        <item x="14"/>
        <item x="16"/>
        <item x="20"/>
        <item x="17"/>
        <item x="19"/>
        <item x="22"/>
        <item x="23"/>
        <item x="25"/>
        <item x="26"/>
        <item x="0"/>
        <item x="3"/>
        <item x="6"/>
        <item x="9"/>
        <item x="12"/>
        <item x="15"/>
        <item x="18"/>
        <item x="21"/>
        <item x="24"/>
      </items>
    </pivotField>
    <pivotField dataField="1" compact="0" showAll="0" defaultSubtotal="0">
      <items count="27">
        <item x="0"/>
        <item x="4"/>
        <item x="1"/>
        <item x="2"/>
        <item x="5"/>
        <item x="3"/>
        <item x="7"/>
        <item x="6"/>
        <item x="8"/>
        <item x="9"/>
        <item x="10"/>
        <item x="11"/>
        <item x="12"/>
        <item x="13"/>
        <item x="14"/>
        <item x="16"/>
        <item x="17"/>
        <item x="15"/>
        <item x="18"/>
        <item x="20"/>
        <item x="23"/>
        <item x="19"/>
        <item x="22"/>
        <item x="26"/>
        <item x="21"/>
        <item x="24"/>
        <item x="25"/>
      </items>
    </pivotField>
    <pivotField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5">
    <field x="14"/>
    <field x="3"/>
    <field x="0"/>
    <field x="1"/>
    <field x="10"/>
  </rowFields>
  <rowItems count="17">
    <i>
      <x/>
    </i>
    <i r="1">
      <x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8" hier="-1"/>
  </pageFields>
  <dataFields count="7">
    <dataField name="Average of sys_clk_period[ns]" fld="4" subtotal="average" baseField="0" baseItem="0"/>
    <dataField name="Average of sys_clk_freq[MHz]" fld="5" subtotal="average" baseField="0" baseItem="0"/>
    <dataField name="Average of pre-bck_grd_iddr[mA]" fld="6" subtotal="average" baseField="0" baseItem="0"/>
    <dataField name="Average of pre-bck_grd_idd18r[mA]" fld="7" subtotal="average" baseField="0" baseItem="0"/>
    <dataField name="Average of read speed[ns]" fld="9" subtotal="average" baseField="0" baseItem="0"/>
    <dataField name="Average of iddr[mA]" fld="11" subtotal="average" baseField="0" baseItem="0"/>
    <dataField name="Average of idd18r[mA]" fld="12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BEEF6-D490-4727-A551-18CC33291C6E}">
  <sheetPr codeName="Sheet3"/>
  <dimension ref="B1:M21"/>
  <sheetViews>
    <sheetView workbookViewId="0">
      <selection activeCell="G27" sqref="G27"/>
    </sheetView>
  </sheetViews>
  <sheetFormatPr defaultRowHeight="15" x14ac:dyDescent="0.25"/>
  <cols>
    <col min="2" max="2" width="19.28515625" bestFit="1" customWidth="1"/>
    <col min="3" max="3" width="28" bestFit="1" customWidth="1"/>
    <col min="4" max="4" width="27.85546875" bestFit="1" customWidth="1"/>
    <col min="5" max="5" width="31.28515625" bestFit="1" customWidth="1"/>
    <col min="6" max="6" width="11.85546875" bestFit="1" customWidth="1"/>
    <col min="7" max="7" width="28" bestFit="1" customWidth="1"/>
    <col min="8" max="8" width="27.85546875" bestFit="1" customWidth="1"/>
    <col min="9" max="9" width="31.28515625" bestFit="1" customWidth="1"/>
    <col min="10" max="10" width="33.28515625" bestFit="1" customWidth="1"/>
    <col min="11" max="11" width="24.7109375" bestFit="1" customWidth="1"/>
    <col min="12" max="12" width="19.28515625" bestFit="1" customWidth="1"/>
    <col min="13" max="13" width="21.42578125" bestFit="1" customWidth="1"/>
  </cols>
  <sheetData>
    <row r="1" spans="2:13" x14ac:dyDescent="0.25">
      <c r="B1" s="1" t="s">
        <v>4</v>
      </c>
      <c r="C1" t="s">
        <v>1</v>
      </c>
    </row>
    <row r="3" spans="2:13" x14ac:dyDescent="0.25">
      <c r="G3" s="1" t="s">
        <v>10</v>
      </c>
    </row>
    <row r="4" spans="2:13" x14ac:dyDescent="0.25">
      <c r="B4" s="1" t="s">
        <v>0</v>
      </c>
      <c r="C4" s="1" t="s">
        <v>17</v>
      </c>
      <c r="D4" s="1" t="s">
        <v>2</v>
      </c>
      <c r="E4" s="1" t="s">
        <v>3</v>
      </c>
      <c r="F4" s="1" t="s">
        <v>5</v>
      </c>
      <c r="G4" t="s">
        <v>9</v>
      </c>
      <c r="H4" t="s">
        <v>11</v>
      </c>
      <c r="I4" t="s">
        <v>12</v>
      </c>
      <c r="J4" t="s">
        <v>13</v>
      </c>
      <c r="K4" t="s">
        <v>14</v>
      </c>
      <c r="L4" t="s">
        <v>15</v>
      </c>
      <c r="M4" t="s">
        <v>16</v>
      </c>
    </row>
    <row r="5" spans="2:13" x14ac:dyDescent="0.25">
      <c r="B5" t="s">
        <v>18</v>
      </c>
      <c r="G5" s="2"/>
      <c r="H5" s="2"/>
      <c r="I5" s="2"/>
      <c r="J5" s="2"/>
      <c r="K5" s="2"/>
      <c r="L5" s="2"/>
      <c r="M5" s="2"/>
    </row>
    <row r="6" spans="2:13" x14ac:dyDescent="0.25">
      <c r="C6">
        <v>200</v>
      </c>
      <c r="G6" s="2"/>
      <c r="H6" s="2"/>
      <c r="I6" s="2"/>
      <c r="J6" s="2"/>
      <c r="K6" s="2"/>
      <c r="L6" s="2"/>
      <c r="M6" s="2"/>
    </row>
    <row r="7" spans="2:13" x14ac:dyDescent="0.25">
      <c r="D7">
        <v>0.72</v>
      </c>
      <c r="G7" s="2"/>
      <c r="H7" s="2"/>
      <c r="I7" s="2"/>
      <c r="J7" s="2"/>
      <c r="K7" s="2"/>
      <c r="L7" s="2"/>
      <c r="M7" s="2"/>
    </row>
    <row r="8" spans="2:13" x14ac:dyDescent="0.25">
      <c r="E8">
        <v>1.62</v>
      </c>
      <c r="G8" s="2"/>
      <c r="H8" s="2"/>
      <c r="I8" s="2"/>
      <c r="J8" s="2"/>
      <c r="K8" s="2"/>
      <c r="L8" s="2"/>
      <c r="M8" s="2"/>
    </row>
    <row r="9" spans="2:13" x14ac:dyDescent="0.25">
      <c r="F9" t="s">
        <v>6</v>
      </c>
      <c r="G9" s="2">
        <v>4.9787413333333328</v>
      </c>
      <c r="H9" s="2">
        <v>200.85333333333332</v>
      </c>
      <c r="I9" s="2">
        <v>2.37025</v>
      </c>
      <c r="J9" s="2">
        <v>3.3058753333333333</v>
      </c>
      <c r="K9" s="2">
        <v>6</v>
      </c>
      <c r="L9" s="2">
        <v>5.0124603333333333</v>
      </c>
      <c r="M9" s="2">
        <v>3.202374666666667</v>
      </c>
    </row>
    <row r="10" spans="2:13" x14ac:dyDescent="0.25">
      <c r="F10" t="s">
        <v>7</v>
      </c>
      <c r="G10" s="2">
        <v>4.9787413333333328</v>
      </c>
      <c r="H10" s="2">
        <v>200.85333333333332</v>
      </c>
      <c r="I10" s="2">
        <v>2.37025</v>
      </c>
      <c r="J10" s="2">
        <v>3.3058753333333333</v>
      </c>
      <c r="K10" s="2">
        <v>6</v>
      </c>
      <c r="L10" s="2">
        <v>3.4588753333333337</v>
      </c>
      <c r="M10" s="2">
        <v>3.1979593333333334</v>
      </c>
    </row>
    <row r="11" spans="2:13" x14ac:dyDescent="0.25">
      <c r="F11" t="s">
        <v>8</v>
      </c>
      <c r="G11" s="2">
        <v>4.9787413333333328</v>
      </c>
      <c r="H11" s="2">
        <v>200.85333333333332</v>
      </c>
      <c r="I11" s="2">
        <v>2.37025</v>
      </c>
      <c r="J11" s="2">
        <v>3.3058753333333333</v>
      </c>
      <c r="K11" s="2">
        <v>6</v>
      </c>
      <c r="L11" s="2">
        <v>3.5036473333333333</v>
      </c>
      <c r="M11" s="2">
        <v>3.2062300000000001</v>
      </c>
    </row>
    <row r="12" spans="2:13" x14ac:dyDescent="0.25">
      <c r="D12">
        <v>0.8</v>
      </c>
      <c r="G12" s="2"/>
      <c r="H12" s="2"/>
      <c r="I12" s="2"/>
      <c r="J12" s="2"/>
      <c r="K12" s="2"/>
      <c r="L12" s="2"/>
      <c r="M12" s="2"/>
    </row>
    <row r="13" spans="2:13" x14ac:dyDescent="0.25">
      <c r="E13">
        <v>1.8</v>
      </c>
      <c r="G13" s="2"/>
      <c r="H13" s="2"/>
      <c r="I13" s="2"/>
      <c r="J13" s="2"/>
      <c r="K13" s="2"/>
      <c r="L13" s="2"/>
      <c r="M13" s="2"/>
    </row>
    <row r="14" spans="2:13" x14ac:dyDescent="0.25">
      <c r="F14" t="s">
        <v>6</v>
      </c>
      <c r="G14" s="2">
        <v>5.0761523333333329</v>
      </c>
      <c r="H14" s="2">
        <v>197</v>
      </c>
      <c r="I14" s="2">
        <v>2.6553753333333332</v>
      </c>
      <c r="J14" s="2">
        <v>4.0092713333333334</v>
      </c>
      <c r="K14" s="2">
        <v>6</v>
      </c>
      <c r="L14" s="2">
        <v>5.5822509999999994</v>
      </c>
      <c r="M14" s="2">
        <v>3.9013963333333339</v>
      </c>
    </row>
    <row r="15" spans="2:13" x14ac:dyDescent="0.25">
      <c r="F15" t="s">
        <v>7</v>
      </c>
      <c r="G15" s="2">
        <v>5.0761523333333329</v>
      </c>
      <c r="H15" s="2">
        <v>197</v>
      </c>
      <c r="I15" s="2">
        <v>2.6553753333333332</v>
      </c>
      <c r="J15" s="2">
        <v>4.0092713333333334</v>
      </c>
      <c r="K15" s="2">
        <v>6</v>
      </c>
      <c r="L15" s="2">
        <v>3.8637920000000001</v>
      </c>
      <c r="M15" s="2">
        <v>3.8995636666666669</v>
      </c>
    </row>
    <row r="16" spans="2:13" x14ac:dyDescent="0.25">
      <c r="F16" t="s">
        <v>8</v>
      </c>
      <c r="G16" s="2">
        <v>5.0761523333333329</v>
      </c>
      <c r="H16" s="2">
        <v>197</v>
      </c>
      <c r="I16" s="2">
        <v>2.6553753333333332</v>
      </c>
      <c r="J16" s="2">
        <v>4.0092713333333334</v>
      </c>
      <c r="K16" s="2">
        <v>6</v>
      </c>
      <c r="L16" s="2">
        <v>3.8988966666666669</v>
      </c>
      <c r="M16" s="2">
        <v>3.9005633333333338</v>
      </c>
    </row>
    <row r="17" spans="4:13" x14ac:dyDescent="0.25">
      <c r="D17">
        <v>0.88</v>
      </c>
      <c r="G17" s="2"/>
      <c r="H17" s="2"/>
      <c r="I17" s="2"/>
      <c r="J17" s="2"/>
      <c r="K17" s="2"/>
      <c r="L17" s="2"/>
      <c r="M17" s="2"/>
    </row>
    <row r="18" spans="4:13" x14ac:dyDescent="0.25">
      <c r="E18">
        <v>1.98</v>
      </c>
      <c r="G18" s="2"/>
      <c r="H18" s="2"/>
      <c r="I18" s="2"/>
      <c r="J18" s="2"/>
      <c r="K18" s="2"/>
      <c r="L18" s="2"/>
      <c r="M18" s="2"/>
    </row>
    <row r="19" spans="4:13" x14ac:dyDescent="0.25">
      <c r="F19" t="s">
        <v>6</v>
      </c>
      <c r="G19" s="2">
        <v>5.0389956666666667</v>
      </c>
      <c r="H19" s="2">
        <v>198.45666666666668</v>
      </c>
      <c r="I19" s="2">
        <v>3.0152296666666665</v>
      </c>
      <c r="J19" s="2">
        <v>4.7478766666666665</v>
      </c>
      <c r="K19" s="2">
        <v>6</v>
      </c>
      <c r="L19" s="2">
        <v>6.2672496666666673</v>
      </c>
      <c r="M19" s="2">
        <v>4.6340216666666665</v>
      </c>
    </row>
    <row r="20" spans="4:13" x14ac:dyDescent="0.25">
      <c r="F20" t="s">
        <v>7</v>
      </c>
      <c r="G20" s="2">
        <v>5.0389956666666667</v>
      </c>
      <c r="H20" s="2">
        <v>198.45666666666668</v>
      </c>
      <c r="I20" s="2">
        <v>3.0152296666666665</v>
      </c>
      <c r="J20" s="2">
        <v>4.7478766666666665</v>
      </c>
      <c r="K20" s="2">
        <v>6</v>
      </c>
      <c r="L20" s="2">
        <v>4.3144383333333343</v>
      </c>
      <c r="M20" s="2">
        <v>4.6354386666666665</v>
      </c>
    </row>
    <row r="21" spans="4:13" x14ac:dyDescent="0.25">
      <c r="F21" t="s">
        <v>8</v>
      </c>
      <c r="G21" s="2">
        <v>5.0389956666666667</v>
      </c>
      <c r="H21" s="2">
        <v>198.45666666666668</v>
      </c>
      <c r="I21" s="2">
        <v>3.0152296666666665</v>
      </c>
      <c r="J21" s="2">
        <v>4.7478766666666665</v>
      </c>
      <c r="K21" s="2">
        <v>6</v>
      </c>
      <c r="L21" s="2">
        <v>4.3474180000000002</v>
      </c>
      <c r="M21" s="2">
        <v>4.6289596666666668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E8" sqref="E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2023-12-07T21:30:18Z</dcterms:modified>
</cp:coreProperties>
</file>