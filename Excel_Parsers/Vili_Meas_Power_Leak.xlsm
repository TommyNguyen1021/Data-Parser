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5F48D216-D376-4D3B-8BE4-584C6843F6E5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23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32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<sst xmlns="http://schemas.openxmlformats.org/spreadsheetml/2006/main" count="10" uniqueCount="10">
  <si>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</si>
  <si>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</si>
  <si>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</si>
  <si>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</si>
  <si>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Values</t>
  </si>
  <si>
    <t>(All)</t>
  </si>
  <si>
    <t>Average of Idd_leak[mA]</t>
  </si>
  <si>
    <t>Average of Idd18_leak[mA]</t>
  </si>
  <si>
    <t>Average of IddIO_leak[mA]</t>
  </si>
  <si>
    <t>Q0134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</si>
</sst>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[Vili_Meas_Power_Leak.xlsm]Pivot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Idd_leak[mA]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-0.33793800000000002</c:v>
                </c:pt>
                <c:pt idx="1">
                  <c:v>-0.33118799999999998</c:v>
                </c:pt>
                <c:pt idx="2">
                  <c:v>-0.32318799999999998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5-4C11-A4BB-9F76308AF0FD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Idd18_leak[mA]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-0.30649999999999999</c:v>
                </c:pt>
                <c:pt idx="1">
                  <c:v>-0.26368799999999998</c:v>
                </c:pt>
                <c:pt idx="2">
                  <c:v>-0.16181300000000001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5-4C11-A4BB-9F76308AF0FD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IddIO_leak[mA]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0.53737500000000005</c:v>
                </c:pt>
                <c:pt idx="1">
                  <c:v>0.59050000000000002</c:v>
                </c:pt>
                <c:pt idx="2">
                  <c:v>0.604437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15-4C11-A4BB-9F76308AF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924671"/>
        <c:axId val="1375443647"/>
      </c:lineChart>
      <c:catAx>
        <c:axId val="151392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443647"/>
        <c:crosses val="autoZero"/>
        <c:auto val="1"/>
        <c:lblAlgn val="ctr"/>
        <c:lblOffset val="100"/>
        <c:noMultiLvlLbl val="0"/>
      </c:catAx>
      <c:valAx>
        <c:axId val="137544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2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2</xdr:row>
      <xdr:rowOff>0</xdr:rowOff>
    </xdr:from>
    <xdr:to>
      <xdr:col>23</xdr:col>
      <xdr:colOff>368300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775517-FC85-A353-4936-3D9638C143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14226851854" createdVersion="3" refreshedVersion="8" minRefreshableVersion="3" recordCount="6" xr:uid="{F2D1913B-FD6B-413F-B1F0-F6A3913D5A0D}">
  <cacheSource type="worksheet">
    <worksheetSource ref="A1:J7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0.5" maxValue="0.5" count="1">
        <n v="0.5"/>
      </sharedItems>
    </cacheField>
    <cacheField name="Idd_leak[mA]" numFmtId="0">
      <sharedItems containsSemiMixedTypes="0" containsString="0" containsNumber="1" minValue="-0.34243800000000002" maxValue="-0.32318799999999998" count="6">
        <n v="-0.34243800000000002"/>
        <n v="-0.332625"/>
        <n v="-0.32881300000000002"/>
        <n v="-0.33793800000000002"/>
        <n v="-0.33118799999999998"/>
        <n v="-0.32318799999999998"/>
      </sharedItems>
    </cacheField>
    <cacheField name="Idd18_leak[mA]" numFmtId="0">
      <sharedItems containsSemiMixedTypes="0" containsString="0" containsNumber="1" minValue="-0.32606299999999999" maxValue="-0.14018800000000001" count="6">
        <n v="-0.32606299999999999"/>
        <n v="-0.27550000000000002"/>
        <n v="-0.14018800000000001"/>
        <n v="-0.30649999999999999"/>
        <n v="-0.26368799999999998"/>
        <n v="-0.16181300000000001"/>
      </sharedItems>
    </cacheField>
    <cacheField name="IddIO_leak[mA]" numFmtId="0">
      <sharedItems containsSemiMixedTypes="0" containsString="0" containsNumber="1" minValue="0.432562" maxValue="0.604437" count="6">
        <n v="0.432562"/>
        <n v="0.47975000000000001"/>
        <n v="0.50668800000000003"/>
        <n v="0.53737500000000005"/>
        <n v="0.59050000000000002"/>
        <n v="0.604437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28"/>
        <s v="Q013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</r>
  <r>
    <x v="1"/>
    <x v="1"/>
    <x v="0"/>
    <x v="1"/>
    <x v="1"/>
    <x v="1"/>
    <x v="0"/>
    <x v="0"/>
    <x v="0"/>
    <x v="0"/>
  </r>
  <r>
    <x v="2"/>
    <x v="2"/>
    <x v="0"/>
    <x v="2"/>
    <x v="2"/>
    <x v="2"/>
    <x v="0"/>
    <x v="0"/>
    <x v="0"/>
    <x v="0"/>
  </r>
  <r>
    <x v="0"/>
    <x v="0"/>
    <x v="0"/>
    <x v="3"/>
    <x v="3"/>
    <x v="3"/>
    <x v="0"/>
    <x v="1"/>
    <x v="0"/>
    <x v="0"/>
  </r>
  <r>
    <x v="1"/>
    <x v="1"/>
    <x v="0"/>
    <x v="4"/>
    <x v="4"/>
    <x v="4"/>
    <x v="0"/>
    <x v="1"/>
    <x v="0"/>
    <x v="0"/>
  </r>
  <r>
    <x v="2"/>
    <x v="2"/>
    <x v="0"/>
    <x v="5"/>
    <x v="5"/>
    <x v="5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69AD7F-A79D-4E7F-96DB-145AC94DCB0D}" name="DataPivotTable" cacheId="32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6">
        <item x="0"/>
        <item x="3"/>
        <item x="1"/>
        <item x="4"/>
        <item x="2"/>
        <item x="5"/>
      </items>
    </pivotField>
    <pivotField dataField="1" compact="0" showAll="0" defaultSubtotal="0">
      <items count="6">
        <item x="0"/>
        <item x="3"/>
        <item x="1"/>
        <item x="4"/>
        <item x="5"/>
        <item x="2"/>
      </items>
    </pivotField>
    <pivotField dataField="1" compact="0" showAll="0" defaultSubtotal="0">
      <items count="6">
        <item x="0"/>
        <item x="1"/>
        <item x="2"/>
        <item x="3"/>
        <item x="4"/>
        <item x="5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1" hier="-1"/>
    <pageField fld="8" hier="-1"/>
  </pageFields>
  <dataFields count="3">
    <dataField name="Average of Idd_leak[mA]" fld="3" subtotal="average" baseField="0" baseItem="0"/>
    <dataField name="Average of Idd18_leak[mA]" fld="4" subtotal="average" baseField="0" baseItem="0"/>
    <dataField name="Average of IddIO_leak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5B30-1EAF-4CD7-A52A-72395ABF05CB}">
  <sheetPr codeName="Sheet1"/>
  <dimension ref="B1:F11"/>
  <sheetViews>
    <sheetView workbookViewId="0">
      <selection activeCell="F18" sqref="F18"/>
    </sheetView>
  </sheetViews>
  <sheetFormatPr defaultRowHeight="15" x14ac:dyDescent="0.25"/>
  <cols>
    <col min="2" max="2" width="13.140625" bestFit="1" customWidth="1"/>
    <col min="3" max="3" width="8.85546875" bestFit="1" customWidth="1"/>
    <col min="4" max="4" width="23.42578125" bestFit="1" customWidth="1"/>
    <col min="5" max="6" width="25.5703125" bestFit="1" customWidth="1"/>
  </cols>
  <sheetData>
    <row r="1" spans="2:6" x14ac:dyDescent="0.25">
      <c r="B1" s="1" t="s">
        <v>2</v>
      </c>
      <c r="C1" t="s">
        <v>9</v>
      </c>
    </row>
    <row r="2" spans="2:6" x14ac:dyDescent="0.25">
      <c r="B2" s="1" t="s">
        <v>3</v>
      </c>
      <c r="C2" t="s">
        <v>5</v>
      </c>
    </row>
    <row r="4" spans="2:6" x14ac:dyDescent="0.25">
      <c r="D4" s="1" t="s">
        <v>4</v>
      </c>
    </row>
    <row r="5" spans="2:6" x14ac:dyDescent="0.25">
      <c r="B5" s="1" t="s">
        <v>0</v>
      </c>
      <c r="C5" s="1" t="s">
        <v>1</v>
      </c>
      <c r="D5" t="s">
        <v>6</v>
      </c>
      <c r="E5" t="s">
        <v>7</v>
      </c>
      <c r="F5" t="s">
        <v>8</v>
      </c>
    </row>
    <row r="6" spans="2:6" x14ac:dyDescent="0.25">
      <c r="B6">
        <v>0.72</v>
      </c>
      <c r="D6" s="2"/>
      <c r="E6" s="2"/>
      <c r="F6" s="2"/>
    </row>
    <row r="7" spans="2:6" x14ac:dyDescent="0.25">
      <c r="C7">
        <v>1.62</v>
      </c>
      <c r="D7" s="2">
        <v>-0.33793800000000002</v>
      </c>
      <c r="E7" s="2">
        <v>-0.30649999999999999</v>
      </c>
      <c r="F7" s="2">
        <v>0.53737500000000005</v>
      </c>
    </row>
    <row r="8" spans="2:6" x14ac:dyDescent="0.25">
      <c r="B8">
        <v>0.8</v>
      </c>
      <c r="D8" s="2"/>
      <c r="E8" s="2"/>
      <c r="F8" s="2"/>
    </row>
    <row r="9" spans="2:6" x14ac:dyDescent="0.25">
      <c r="C9">
        <v>1.8</v>
      </c>
      <c r="D9" s="2">
        <v>-0.33118799999999998</v>
      </c>
      <c r="E9" s="2">
        <v>-0.26368799999999998</v>
      </c>
      <c r="F9" s="2">
        <v>0.59050000000000002</v>
      </c>
    </row>
    <row r="10" spans="2:6" x14ac:dyDescent="0.25">
      <c r="B10">
        <v>0.88</v>
      </c>
      <c r="D10" s="2"/>
      <c r="E10" s="2"/>
      <c r="F10" s="2"/>
    </row>
    <row r="11" spans="2:6" x14ac:dyDescent="0.25">
      <c r="C11">
        <v>1.98</v>
      </c>
      <c r="D11" s="2">
        <v>-0.32318799999999998</v>
      </c>
      <c r="E11" s="2">
        <v>-0.16181300000000001</v>
      </c>
      <c r="F11" s="2">
        <v>0.604437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B5" sqref="B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2023-12-07T19:20:45Z</dcterms:modified>
</cp:coreProperties>
</file>