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ommy Nguyen\Downloads\Data_Parser_ServerConnection\Data_Parser\Excel_Parsers\"/>
    </mc:Choice>
  </mc:AlternateContent>
  <xr:revisionPtr revIDLastSave="0" documentId="13_ncr:1_{734DBFD2-49D9-4C1C-B76A-D1F55DA53BBE}" xr6:coauthVersionLast="47" xr6:coauthVersionMax="47" xr10:uidLastSave="{00000000-0000-0000-0000-000000000000}"/>
  <bookViews>
    <workbookView xWindow="-120" yWindow="-120" windowWidth="51840" windowHeight="21120" activeTab="1" xr2:uid="{00000000-000D-0000-FFFF-FFFF00000000}"/>
  </bookViews>
  <sheets>
    <sheet name="Pivot Table" sheetId="67" r:id="rId1"/>
    <sheet name="Data" sheetId="55" r:id="rId2"/>
  </sheets>
  <definedNames>
    <definedName name="ExternalData_1" localSheetId="1">Data!#REF!</definedName>
    <definedName name="ExternalData_10" localSheetId="1">Data!#REF!</definedName>
    <definedName name="ExternalData_11" localSheetId="1">Data!#REF!</definedName>
    <definedName name="ExternalData_12" localSheetId="1">Data!#REF!</definedName>
    <definedName name="ExternalData_13" localSheetId="1">Data!#REF!</definedName>
    <definedName name="ExternalData_14" localSheetId="1">Data!#REF!</definedName>
    <definedName name="ExternalData_15" localSheetId="1">Data!#REF!</definedName>
    <definedName name="ExternalData_16" localSheetId="1">Data!#REF!</definedName>
    <definedName name="ExternalData_17" localSheetId="1">Data!#REF!</definedName>
    <definedName name="ExternalData_18" localSheetId="1">Data!#REF!</definedName>
    <definedName name="ExternalData_19" localSheetId="1">Data!#REF!</definedName>
    <definedName name="ExternalData_2" localSheetId="1">Data!#REF!</definedName>
    <definedName name="ExternalData_20" localSheetId="1">Data!#REF!</definedName>
    <definedName name="ExternalData_21" localSheetId="1">Data!#REF!</definedName>
    <definedName name="ExternalData_22" localSheetId="1">Data!#REF!</definedName>
    <definedName name="ExternalData_3" localSheetId="1">Data!#REF!</definedName>
    <definedName name="ExternalData_4" localSheetId="1">Data!#REF!</definedName>
    <definedName name="ExternalData_5" localSheetId="1">Data!#REF!</definedName>
    <definedName name="ExternalData_6" localSheetId="1">Data!#REF!</definedName>
    <definedName name="ExternalData_7" localSheetId="1">Data!#REF!</definedName>
    <definedName name="ExternalData_8" localSheetId="1">Data!#REF!</definedName>
    <definedName name="ExternalData_9" localSheetId="1">Data!#REF!</definedName>
  </definedNames>
  <calcPr calcId="162913"/>
  <pivotCaches>
    <pivotCache cacheId="141" r:id="rId3"/>
  </pivotCaches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D58787A-DB6C-4A2F-881E-907317C1BCEF}" name="False" type="6" refreshedVersion="0" background="1">
    <textPr prompt="0" sourceFile="False">
      <textFields>
        <textField/>
      </textFields>
    </textPr>
  </connection>
</connections>
</file>

<file path=xl/sharedStrings.xml><?xml version="1.0" encoding="utf-8"?>
<sst xmlns="http://schemas.openxmlformats.org/spreadsheetml/2006/main" count="10" uniqueCount="10">
  <si>
    <t>Vdd</t>
  </si>
  <si>
    <t>Vdd18</t>
  </si>
  <si>
    <t>Part Number</t>
  </si>
  <si>
    <t>Temp</t>
  </si>
  <si>
    <t>Q0128</t>
  </si>
  <si>
    <t>Values</t>
  </si>
  <si>
    <t>(All)</t>
  </si>
  <si>
    <t>Average of Idd_dsleep[mA]</t>
  </si>
  <si>
    <t>Average of Idd18_dsleep[mA]</t>
  </si>
  <si>
    <t>Average of IddIO_1.5V_dsleep[mA]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</si>
</sst>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pivotButton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[Vili_Meas_Deep_Sleep.xlsm]Pivot Table!DataPivotTable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Deep Sleep Current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'Pivot Table'!$D$4:$D$5</c:f>
              <c:strCache>
                <c:ptCount val="1"/>
                <c:pt idx="0">
                  <c:v>Average of Idd_dsleep[mA]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'Pivot Table'!$B$6:$C$11</c:f>
              <c:multiLvlStrCache>
                <c:ptCount val="3"/>
                <c:lvl>
                  <c:pt idx="0">
                    <c:v>1.62</c:v>
                  </c:pt>
                  <c:pt idx="1">
                    <c:v>1.8</c:v>
                  </c:pt>
                  <c:pt idx="2">
                    <c:v>1.98</c:v>
                  </c:pt>
                </c:lvl>
                <c:lvl>
                  <c:pt idx="0">
                    <c:v>0.72</c:v>
                  </c:pt>
                  <c:pt idx="1">
                    <c:v>0.8</c:v>
                  </c:pt>
                  <c:pt idx="2">
                    <c:v>0.88</c:v>
                  </c:pt>
                </c:lvl>
              </c:multiLvlStrCache>
            </c:multiLvlStrRef>
          </c:cat>
          <c:val>
            <c:numRef>
              <c:f>'Pivot Table'!$D$6:$D$11</c:f>
              <c:numCache>
                <c:formatCode>General</c:formatCode>
                <c:ptCount val="3"/>
                <c:pt idx="0">
                  <c:v>-0.35831200000000002</c:v>
                </c:pt>
                <c:pt idx="1">
                  <c:v>-0.33643800000000001</c:v>
                </c:pt>
                <c:pt idx="2">
                  <c:v>-0.33387499999999998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31-49EA-B6CF-A2425D362672}"/>
            </c:ext>
          </c:extLst>
        </c:ser>
        <c:ser>
          <c:idx val="1"/>
          <c:order val="1"/>
          <c:tx>
            <c:strRef>
              <c:f>'Pivot Table'!$E$4:$E$5</c:f>
              <c:strCache>
                <c:ptCount val="1"/>
                <c:pt idx="0">
                  <c:v>Average of Idd18_dsleep[mA]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'Pivot Table'!$B$6:$C$11</c:f>
              <c:multiLvlStrCache>
                <c:ptCount val="3"/>
                <c:lvl>
                  <c:pt idx="0">
                    <c:v>1.62</c:v>
                  </c:pt>
                  <c:pt idx="1">
                    <c:v>1.8</c:v>
                  </c:pt>
                  <c:pt idx="2">
                    <c:v>1.98</c:v>
                  </c:pt>
                </c:lvl>
                <c:lvl>
                  <c:pt idx="0">
                    <c:v>0.72</c:v>
                  </c:pt>
                  <c:pt idx="1">
                    <c:v>0.8</c:v>
                  </c:pt>
                  <c:pt idx="2">
                    <c:v>0.88</c:v>
                  </c:pt>
                </c:lvl>
              </c:multiLvlStrCache>
            </c:multiLvlStrRef>
          </c:cat>
          <c:val>
            <c:numRef>
              <c:f>'Pivot Table'!$E$6:$E$11</c:f>
              <c:numCache>
                <c:formatCode>General</c:formatCode>
                <c:ptCount val="3"/>
                <c:pt idx="0">
                  <c:v>-0.35531200000000002</c:v>
                </c:pt>
                <c:pt idx="1">
                  <c:v>-0.30518699999999999</c:v>
                </c:pt>
                <c:pt idx="2">
                  <c:v>-0.235125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531-49EA-B6CF-A2425D362672}"/>
            </c:ext>
          </c:extLst>
        </c:ser>
        <c:ser>
          <c:idx val="2"/>
          <c:order val="2"/>
          <c:tx>
            <c:strRef>
              <c:f>'Pivot Table'!$F$4:$F$5</c:f>
              <c:strCache>
                <c:ptCount val="1"/>
                <c:pt idx="0">
                  <c:v>Average of IddIO_1.5V_dsleep[mA]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multiLvlStrRef>
              <c:f>'Pivot Table'!$B$6:$C$11</c:f>
              <c:multiLvlStrCache>
                <c:ptCount val="3"/>
                <c:lvl>
                  <c:pt idx="0">
                    <c:v>1.62</c:v>
                  </c:pt>
                  <c:pt idx="1">
                    <c:v>1.8</c:v>
                  </c:pt>
                  <c:pt idx="2">
                    <c:v>1.98</c:v>
                  </c:pt>
                </c:lvl>
                <c:lvl>
                  <c:pt idx="0">
                    <c:v>0.72</c:v>
                  </c:pt>
                  <c:pt idx="1">
                    <c:v>0.8</c:v>
                  </c:pt>
                  <c:pt idx="2">
                    <c:v>0.88</c:v>
                  </c:pt>
                </c:lvl>
              </c:multiLvlStrCache>
            </c:multiLvlStrRef>
          </c:cat>
          <c:val>
            <c:numRef>
              <c:f>'Pivot Table'!$F$6:$F$11</c:f>
              <c:numCache>
                <c:formatCode>General</c:formatCode>
                <c:ptCount val="3"/>
                <c:pt idx="0">
                  <c:v>0.40875</c:v>
                </c:pt>
                <c:pt idx="1">
                  <c:v>0.412188</c:v>
                </c:pt>
                <c:pt idx="2">
                  <c:v>0.446687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531-49EA-B6CF-A2425D3626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6884719"/>
        <c:axId val="1291162127"/>
      </c:lineChart>
      <c:catAx>
        <c:axId val="8468847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1162127"/>
        <c:crosses val="autoZero"/>
        <c:auto val="1"/>
        <c:lblAlgn val="ctr"/>
        <c:lblOffset val="100"/>
        <c:noMultiLvlLbl val="0"/>
      </c:catAx>
      <c:valAx>
        <c:axId val="1291162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68847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2</xdr:row>
      <xdr:rowOff>0</xdr:rowOff>
    </xdr:from>
    <xdr:to>
      <xdr:col>23</xdr:col>
      <xdr:colOff>584200</xdr:colOff>
      <xdr:row>31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F124E7A-49C2-4B37-4934-A58A0AEDDD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ommy Nguyen" refreshedDate="45267.501012152781" createdVersion="3" refreshedVersion="8" minRefreshableVersion="3" recordCount="6" xr:uid="{3B029CDC-FA73-4FD4-B6A5-48A8E474EC08}">
  <cacheSource type="worksheet">
    <worksheetSource ref="A1:J7" sheet="Data"/>
  </cacheSource>
  <cacheFields count="10">
    <cacheField name="Vdd" numFmtId="0">
      <sharedItems containsSemiMixedTypes="0" containsString="0" containsNumber="1" minValue="0.72" maxValue="0.88" count="3">
        <n v="0.72"/>
        <n v="0.8"/>
        <n v="0.88"/>
      </sharedItems>
    </cacheField>
    <cacheField name="Vdd18" numFmtId="0">
      <sharedItems containsSemiMixedTypes="0" containsString="0" containsNumber="1" minValue="1.62" maxValue="1.98" count="3">
        <n v="1.62"/>
        <n v="1.8"/>
        <n v="1.98"/>
      </sharedItems>
    </cacheField>
    <cacheField name="VddIO" numFmtId="0">
      <sharedItems containsSemiMixedTypes="0" containsString="0" containsNumber="1" minValue="0.5" maxValue="0.5" count="1">
        <n v="0.5"/>
      </sharedItems>
    </cacheField>
    <cacheField name="Idd_dsleep[mA]" numFmtId="0">
      <sharedItems containsSemiMixedTypes="0" containsString="0" containsNumber="1" minValue="-0.35831200000000002" maxValue="-0.33387499999999998" count="6">
        <n v="-0.35831200000000002"/>
        <n v="-0.33643800000000001"/>
        <n v="-0.33387499999999998"/>
        <n v="-0.35043800000000003"/>
        <n v="-0.33968799999999999"/>
        <n v="-0.33750000000000002"/>
      </sharedItems>
    </cacheField>
    <cacheField name="Idd18_dsleep[mA]" numFmtId="0">
      <sharedItems containsSemiMixedTypes="0" containsString="0" containsNumber="1" minValue="-0.35531200000000002" maxValue="-0.21268799999999999" count="6">
        <n v="-0.35531200000000002"/>
        <n v="-0.30518699999999999"/>
        <n v="-0.235125"/>
        <n v="-0.32768799999999998"/>
        <n v="-0.29175000000000001"/>
        <n v="-0.21268799999999999"/>
      </sharedItems>
    </cacheField>
    <cacheField name="IddIO_1.5V_dsleep[mA]" numFmtId="0">
      <sharedItems containsSemiMixedTypes="0" containsString="0" containsNumber="1" minValue="0.40875" maxValue="0.54674999999999996" count="6">
        <n v="0.40875"/>
        <n v="0.412188"/>
        <n v="0.446687"/>
        <n v="0.482875"/>
        <n v="0.54231200000000002"/>
        <n v="0.54674999999999996"/>
      </sharedItems>
    </cacheField>
    <cacheField name="Lot Bin Wafer" numFmtId="0">
      <sharedItems count="1">
        <s v="P9KT98.AC_a_0"/>
      </sharedItems>
    </cacheField>
    <cacheField name="Part Number" numFmtId="0">
      <sharedItems count="2">
        <s v="Q0128"/>
        <s v="Q0134"/>
      </sharedItems>
    </cacheField>
    <cacheField name="Temp" numFmtId="0">
      <sharedItems count="1">
        <s v="25C"/>
      </sharedItems>
    </cacheField>
    <cacheField name="Date" numFmtId="0">
      <sharedItems containsSemiMixedTypes="0" containsString="0" containsNumber="1" containsInteger="1" minValue="231207" maxValue="231207" count="1">
        <n v="231207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x v="0"/>
    <x v="0"/>
    <x v="0"/>
    <x v="0"/>
    <x v="0"/>
    <x v="0"/>
    <x v="0"/>
    <x v="0"/>
    <x v="0"/>
    <x v="0"/>
  </r>
  <r>
    <x v="1"/>
    <x v="1"/>
    <x v="0"/>
    <x v="1"/>
    <x v="1"/>
    <x v="1"/>
    <x v="0"/>
    <x v="0"/>
    <x v="0"/>
    <x v="0"/>
  </r>
  <r>
    <x v="2"/>
    <x v="2"/>
    <x v="0"/>
    <x v="2"/>
    <x v="2"/>
    <x v="2"/>
    <x v="0"/>
    <x v="0"/>
    <x v="0"/>
    <x v="0"/>
  </r>
  <r>
    <x v="0"/>
    <x v="0"/>
    <x v="0"/>
    <x v="3"/>
    <x v="3"/>
    <x v="3"/>
    <x v="0"/>
    <x v="1"/>
    <x v="0"/>
    <x v="0"/>
  </r>
  <r>
    <x v="1"/>
    <x v="1"/>
    <x v="0"/>
    <x v="4"/>
    <x v="4"/>
    <x v="4"/>
    <x v="0"/>
    <x v="1"/>
    <x v="0"/>
    <x v="0"/>
  </r>
  <r>
    <x v="2"/>
    <x v="2"/>
    <x v="0"/>
    <x v="5"/>
    <x v="5"/>
    <x v="5"/>
    <x v="0"/>
    <x v="1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F16ED0-464D-400D-9DA1-BD0221E84740}" name="DataPivotTable" cacheId="141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compact="0" outline="1" outlineData="1" compactData="0" multipleFieldFilters="0" chartFormat="1">
  <location ref="B4:F11" firstHeaderRow="1" firstDataRow="2" firstDataCol="2" rowPageCount="2" colPageCount="1"/>
  <pivotFields count="10">
    <pivotField axis="axisRow" compact="0" showAll="0" defaultSubtotal="0">
      <items count="3">
        <item x="0"/>
        <item x="1"/>
        <item x="2"/>
      </items>
    </pivotField>
    <pivotField axis="axisRow" compact="0" showAll="0" defaultSubtotal="0">
      <items count="3">
        <item x="0"/>
        <item x="1"/>
        <item x="2"/>
      </items>
    </pivotField>
    <pivotField compact="0" showAll="0" defaultSubtotal="0">
      <items count="1">
        <item x="0"/>
      </items>
    </pivotField>
    <pivotField dataField="1" compact="0" showAll="0" defaultSubtotal="0">
      <items count="6">
        <item x="0"/>
        <item x="3"/>
        <item x="4"/>
        <item x="5"/>
        <item x="1"/>
        <item x="2"/>
      </items>
    </pivotField>
    <pivotField dataField="1" compact="0" showAll="0" defaultSubtotal="0">
      <items count="6">
        <item x="0"/>
        <item x="3"/>
        <item x="1"/>
        <item x="4"/>
        <item x="2"/>
        <item x="5"/>
      </items>
    </pivotField>
    <pivotField dataField="1" compact="0" showAll="0" defaultSubtotal="0">
      <items count="6">
        <item x="0"/>
        <item x="1"/>
        <item x="2"/>
        <item x="3"/>
        <item x="4"/>
        <item x="5"/>
      </items>
    </pivotField>
    <pivotField compact="0" showAll="0" defaultSubtotal="0">
      <items count="1">
        <item x="0"/>
      </items>
    </pivotField>
    <pivotField axis="axisPage" compact="0" showAll="0" defaultSubtotal="0">
      <items count="2">
        <item x="0"/>
        <item x="1"/>
      </items>
    </pivotField>
    <pivotField axis="axisPage" compact="0" showAll="0" defaultSubtotal="0">
      <items count="1">
        <item x="0"/>
      </items>
    </pivotField>
    <pivotField compact="0" showAll="0" defaultSubtotal="0">
      <items count="1">
        <item x="0"/>
      </items>
    </pivotField>
  </pivotFields>
  <rowFields count="2">
    <field x="0"/>
    <field x="1"/>
  </rowFields>
  <rowItems count="6">
    <i>
      <x/>
    </i>
    <i r="1">
      <x/>
    </i>
    <i>
      <x v="1"/>
    </i>
    <i r="1">
      <x v="1"/>
    </i>
    <i>
      <x v="2"/>
    </i>
    <i r="1">
      <x v="2"/>
    </i>
  </rowItems>
  <colFields count="1">
    <field x="-2"/>
  </colFields>
  <colItems count="3">
    <i>
      <x/>
    </i>
    <i i="1">
      <x v="1"/>
    </i>
    <i i="2">
      <x v="2"/>
    </i>
  </colItems>
  <pageFields count="2">
    <pageField fld="7" item="0" hier="-1"/>
    <pageField fld="8" hier="-1"/>
  </pageFields>
  <dataFields count="3">
    <dataField name="Average of Idd_dsleep[mA]" fld="3" subtotal="average" baseField="0" baseItem="0"/>
    <dataField name="Average of Idd18_dsleep[mA]" fld="4" subtotal="average" baseField="0" baseItem="0"/>
    <dataField name="Average of IddIO_1.5V_dsleep[mA]" fld="5" subtotal="average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9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974E0-C77D-4E68-8FFE-4A0BB6531644}">
  <sheetPr codeName="Sheet3"/>
  <dimension ref="B1:F11"/>
  <sheetViews>
    <sheetView workbookViewId="0">
      <selection activeCell="F19" sqref="F19"/>
    </sheetView>
  </sheetViews>
  <sheetFormatPr defaultRowHeight="15" x14ac:dyDescent="0.25"/>
  <cols>
    <col min="2" max="2" width="13.140625" bestFit="1" customWidth="1"/>
    <col min="3" max="3" width="8.85546875" bestFit="1" customWidth="1"/>
    <col min="4" max="4" width="25.85546875" bestFit="1" customWidth="1"/>
    <col min="5" max="5" width="27.85546875" bestFit="1" customWidth="1"/>
    <col min="6" max="6" width="32.85546875" bestFit="1" customWidth="1"/>
  </cols>
  <sheetData>
    <row r="1" spans="2:6" x14ac:dyDescent="0.25">
      <c r="B1" s="1" t="s">
        <v>2</v>
      </c>
      <c r="C1" t="s">
        <v>4</v>
      </c>
    </row>
    <row r="2" spans="2:6" x14ac:dyDescent="0.25">
      <c r="B2" s="1" t="s">
        <v>3</v>
      </c>
      <c r="C2" t="s">
        <v>6</v>
      </c>
    </row>
    <row r="4" spans="2:6" x14ac:dyDescent="0.25">
      <c r="D4" s="1" t="s">
        <v>5</v>
      </c>
    </row>
    <row r="5" spans="2:6" x14ac:dyDescent="0.25">
      <c r="B5" s="1" t="s">
        <v>0</v>
      </c>
      <c r="C5" s="1" t="s">
        <v>1</v>
      </c>
      <c r="D5" t="s">
        <v>7</v>
      </c>
      <c r="E5" t="s">
        <v>8</v>
      </c>
      <c r="F5" t="s">
        <v>9</v>
      </c>
    </row>
    <row r="6" spans="2:6" x14ac:dyDescent="0.25">
      <c r="B6">
        <v>0.72</v>
      </c>
      <c r="D6" s="2"/>
      <c r="E6" s="2"/>
      <c r="F6" s="2"/>
    </row>
    <row r="7" spans="2:6" x14ac:dyDescent="0.25">
      <c r="C7">
        <v>1.62</v>
      </c>
      <c r="D7" s="2">
        <v>-0.35831200000000002</v>
      </c>
      <c r="E7" s="2">
        <v>-0.35531200000000002</v>
      </c>
      <c r="F7" s="2">
        <v>0.40875</v>
      </c>
    </row>
    <row r="8" spans="2:6" x14ac:dyDescent="0.25">
      <c r="B8">
        <v>0.8</v>
      </c>
      <c r="D8" s="2"/>
      <c r="E8" s="2"/>
      <c r="F8" s="2"/>
    </row>
    <row r="9" spans="2:6" x14ac:dyDescent="0.25">
      <c r="C9">
        <v>1.8</v>
      </c>
      <c r="D9" s="2">
        <v>-0.33643800000000001</v>
      </c>
      <c r="E9" s="2">
        <v>-0.30518699999999999</v>
      </c>
      <c r="F9" s="2">
        <v>0.412188</v>
      </c>
    </row>
    <row r="10" spans="2:6" x14ac:dyDescent="0.25">
      <c r="B10">
        <v>0.88</v>
      </c>
      <c r="D10" s="2"/>
      <c r="E10" s="2"/>
      <c r="F10" s="2"/>
    </row>
    <row r="11" spans="2:6" x14ac:dyDescent="0.25">
      <c r="C11">
        <v>1.98</v>
      </c>
      <c r="D11" s="2">
        <v>-0.33387499999999998</v>
      </c>
      <c r="E11" s="2">
        <v>-0.235125</v>
      </c>
      <c r="F11" s="2">
        <v>0.446687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2DDB6-E865-4548-828A-ABAA2B70AB19}">
  <sheetPr codeName="Sheet2"/>
  <dimension ref="A1"/>
  <sheetViews>
    <sheetView tabSelected="1" workbookViewId="0">
      <selection activeCell="O13" sqref="O13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Pivot Table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Tommy Nguyen</dc:creator>
  <cp:lastModifiedBy>Tommy Nguyen</cp:lastModifiedBy>
  <dcterms:created xsi:type="dcterms:W3CDTF">2015-06-05T18:17:20Z</dcterms:created>
  <dcterms:modified xsi:type="dcterms:W3CDTF">2023-12-07T19:03:02Z</dcterms:modified>
</cp:coreProperties>
</file>