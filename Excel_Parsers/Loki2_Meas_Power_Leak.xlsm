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ng Kyeong\Documents\Mesa Test\Data_Parser\Excel_Parsers\"/>
    </mc:Choice>
  </mc:AlternateContent>
  <xr:revisionPtr revIDLastSave="0" documentId="13_ncr:1_{EB4BA651-4CDA-427B-B1BA-8BE0F646E85C}" xr6:coauthVersionLast="47" xr6:coauthVersionMax="47" xr10:uidLastSave="{00000000-0000-0000-0000-000000000000}"/>
  <bookViews>
    <workbookView xWindow="32840" yWindow="2210" windowWidth="22180" windowHeight="14580" activeTab="1" xr2:uid="{00000000-000D-0000-FFFF-FFFF00000000}"/>
  </bookViews>
  <sheets>
    <sheet name="Pivot Table" sheetId="67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11" localSheetId="1">Data!#REF!</definedName>
    <definedName name="ExternalData_12" localSheetId="1">Data!#REF!</definedName>
    <definedName name="ExternalData_13" localSheetId="1">Data!#REF!</definedName>
    <definedName name="ExternalData_14" localSheetId="1">Data!#REF!</definedName>
    <definedName name="ExternalData_15" localSheetId="1">Data!#REF!</definedName>
    <definedName name="ExternalData_16" localSheetId="1">Data!#REF!</definedName>
    <definedName name="ExternalData_17" localSheetId="1">Data!#REF!</definedName>
    <definedName name="ExternalData_18" localSheetId="1">Data!#REF!</definedName>
    <definedName name="ExternalData_2" localSheetId="1">Data!#REF!</definedName>
    <definedName name="ExternalData_20" localSheetId="1">Data!#REF!</definedName>
    <definedName name="ExternalData_21" localSheetId="1">Data!#REF!</definedName>
    <definedName name="ExternalData_22" localSheetId="1">Data!#REF!</definedName>
    <definedName name="ExternalData_23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62913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<sst xmlns="http://schemas.openxmlformats.org/spreadsheetml/2006/main" count="10" uniqueCount="10">
  <si>
    <t>Vdd</t>
  </si>
  <si>
    <t>Vdd18</t>
  </si>
  <si>
    <t>Part Number</t>
  </si>
  <si>
    <t>Temp</t>
  </si>
  <si>
    <t>Values</t>
  </si>
  <si>
    <t>(All)</t>
  </si>
  <si>
    <t>Average of Idd_leak[mA]</t>
  </si>
  <si>
    <t>Average of Idd18_leak[mA]</t>
  </si>
  <si>
    <t>Average of IddIO_leak[mA]</t>
  </si>
  <si>
    <t>Q0134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</si>
</sst>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pivotButt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[Loki2_Meas_Power_Leak.xlsm]Pivot Table!DataPivotTable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Deep Sleep Current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Table'!$D$4:$D$5</c:f>
              <c:strCache>
                <c:ptCount val="1"/>
                <c:pt idx="0">
                  <c:v>Average of Idd_leak[mA]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Table'!$D$6:$D$11</c:f>
              <c:numCache>
                <c:formatCode>General</c:formatCode>
                <c:ptCount val="3"/>
                <c:pt idx="0">
                  <c:v>-0.33793800000000002</c:v>
                </c:pt>
                <c:pt idx="1">
                  <c:v>-0.33118799999999998</c:v>
                </c:pt>
                <c:pt idx="2">
                  <c:v>-0.32318799999999998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5-4C11-A4BB-9F76308AF0FD}"/>
            </c:ext>
          </c:extLst>
        </c:ser>
        <c:ser>
          <c:idx val="1"/>
          <c:order val="1"/>
          <c:tx>
            <c:strRef>
              <c:f>'Pivot Table'!$E$4:$E$5</c:f>
              <c:strCache>
                <c:ptCount val="1"/>
                <c:pt idx="0">
                  <c:v>Average of Idd18_leak[mA]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Table'!$E$6:$E$11</c:f>
              <c:numCache>
                <c:formatCode>General</c:formatCode>
                <c:ptCount val="3"/>
                <c:pt idx="0">
                  <c:v>-0.30649999999999999</c:v>
                </c:pt>
                <c:pt idx="1">
                  <c:v>-0.26368799999999998</c:v>
                </c:pt>
                <c:pt idx="2">
                  <c:v>-0.16181300000000001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15-4C11-A4BB-9F76308AF0FD}"/>
            </c:ext>
          </c:extLst>
        </c:ser>
        <c:ser>
          <c:idx val="2"/>
          <c:order val="2"/>
          <c:tx>
            <c:strRef>
              <c:f>'Pivot Table'!$F$4:$F$5</c:f>
              <c:strCache>
                <c:ptCount val="1"/>
                <c:pt idx="0">
                  <c:v>Average of IddIO_leak[mA]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'Pivot Table'!$B$6:$C$11</c:f>
              <c:multiLvlStrCache>
                <c:ptCount val="3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</c:lvl>
                <c:lvl>
                  <c:pt idx="0">
                    <c:v>0.72</c:v>
                  </c:pt>
                  <c:pt idx="1">
                    <c:v>0.8</c:v>
                  </c:pt>
                  <c:pt idx="2">
                    <c:v>0.88</c:v>
                  </c:pt>
                </c:lvl>
              </c:multiLvlStrCache>
            </c:multiLvlStrRef>
          </c:cat>
          <c:val>
            <c:numRef>
              <c:f>'Pivot Table'!$F$6:$F$11</c:f>
              <c:numCache>
                <c:formatCode>General</c:formatCode>
                <c:ptCount val="3"/>
                <c:pt idx="0">
                  <c:v>0.53737500000000005</c:v>
                </c:pt>
                <c:pt idx="1">
                  <c:v>0.59050000000000002</c:v>
                </c:pt>
                <c:pt idx="2">
                  <c:v>0.604437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15-4C11-A4BB-9F76308AF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3924671"/>
        <c:axId val="1375443647"/>
      </c:lineChart>
      <c:catAx>
        <c:axId val="1513924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443647"/>
        <c:crosses val="autoZero"/>
        <c:auto val="1"/>
        <c:lblAlgn val="ctr"/>
        <c:lblOffset val="100"/>
        <c:noMultiLvlLbl val="0"/>
      </c:catAx>
      <c:valAx>
        <c:axId val="137544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392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12700</xdr:colOff>
      <xdr:row>2</xdr:row>
      <xdr:rowOff>0</xdr:rowOff>
    </xdr:from>
    <xdr:to>
      <xdr:col>23</xdr:col>
      <xdr:colOff>368300</xdr:colOff>
      <xdr:row>31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775517-FC85-A353-4936-3D9638C143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267.514226851854" createdVersion="3" refreshedVersion="8" minRefreshableVersion="3" recordCount="6" xr:uid="{F2D1913B-FD6B-413F-B1F0-F6A3913D5A0D}">
  <cacheSource type="worksheet">
    <worksheetSource ref="A1:J7" sheet="Data"/>
  </cacheSource>
  <cacheFields count="10"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Vdd18" numFmtId="0">
      <sharedItems containsSemiMixedTypes="0" containsString="0" containsNumber="1" minValue="1.62" maxValue="1.98" count="3">
        <n v="1.62"/>
        <n v="1.8"/>
        <n v="1.98"/>
      </sharedItems>
    </cacheField>
    <cacheField name="VddIO" numFmtId="0">
      <sharedItems containsSemiMixedTypes="0" containsString="0" containsNumber="1" minValue="0.5" maxValue="0.5" count="1">
        <n v="0.5"/>
      </sharedItems>
    </cacheField>
    <cacheField name="Idd_leak[mA]" numFmtId="0">
      <sharedItems containsSemiMixedTypes="0" containsString="0" containsNumber="1" minValue="-0.34243800000000002" maxValue="-0.32318799999999998" count="6">
        <n v="-0.34243800000000002"/>
        <n v="-0.332625"/>
        <n v="-0.32881300000000002"/>
        <n v="-0.33793800000000002"/>
        <n v="-0.33118799999999998"/>
        <n v="-0.32318799999999998"/>
      </sharedItems>
    </cacheField>
    <cacheField name="Idd18_leak[mA]" numFmtId="0">
      <sharedItems containsSemiMixedTypes="0" containsString="0" containsNumber="1" minValue="-0.32606299999999999" maxValue="-0.14018800000000001" count="6">
        <n v="-0.32606299999999999"/>
        <n v="-0.27550000000000002"/>
        <n v="-0.14018800000000001"/>
        <n v="-0.30649999999999999"/>
        <n v="-0.26368799999999998"/>
        <n v="-0.16181300000000001"/>
      </sharedItems>
    </cacheField>
    <cacheField name="IddIO_leak[mA]" numFmtId="0">
      <sharedItems containsSemiMixedTypes="0" containsString="0" containsNumber="1" minValue="0.432562" maxValue="0.604437" count="6">
        <n v="0.432562"/>
        <n v="0.47975000000000001"/>
        <n v="0.50668800000000003"/>
        <n v="0.53737500000000005"/>
        <n v="0.59050000000000002"/>
        <n v="0.604437"/>
      </sharedItems>
    </cacheField>
    <cacheField name="Lot Bin Wafer" numFmtId="0">
      <sharedItems count="1">
        <s v="P9KT98.AC_a_0"/>
      </sharedItems>
    </cacheField>
    <cacheField name="Part Number" numFmtId="0">
      <sharedItems count="2">
        <s v="Q0128"/>
        <s v="Q0134"/>
      </sharedItems>
    </cacheField>
    <cacheField name="Temp" numFmtId="0">
      <sharedItems count="1">
        <s v="25C"/>
      </sharedItems>
    </cacheField>
    <cacheField name="Date" numFmtId="0">
      <sharedItems containsSemiMixedTypes="0" containsString="0" containsNumber="1" containsInteger="1" minValue="231207" maxValue="231207" count="1">
        <n v="23120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x v="0"/>
    <x v="0"/>
    <x v="0"/>
    <x v="0"/>
    <x v="0"/>
    <x v="0"/>
    <x v="0"/>
  </r>
  <r>
    <x v="1"/>
    <x v="1"/>
    <x v="0"/>
    <x v="1"/>
    <x v="1"/>
    <x v="1"/>
    <x v="0"/>
    <x v="0"/>
    <x v="0"/>
    <x v="0"/>
  </r>
  <r>
    <x v="2"/>
    <x v="2"/>
    <x v="0"/>
    <x v="2"/>
    <x v="2"/>
    <x v="2"/>
    <x v="0"/>
    <x v="0"/>
    <x v="0"/>
    <x v="0"/>
  </r>
  <r>
    <x v="0"/>
    <x v="0"/>
    <x v="0"/>
    <x v="3"/>
    <x v="3"/>
    <x v="3"/>
    <x v="0"/>
    <x v="1"/>
    <x v="0"/>
    <x v="0"/>
  </r>
  <r>
    <x v="1"/>
    <x v="1"/>
    <x v="0"/>
    <x v="4"/>
    <x v="4"/>
    <x v="4"/>
    <x v="0"/>
    <x v="1"/>
    <x v="0"/>
    <x v="0"/>
  </r>
  <r>
    <x v="2"/>
    <x v="2"/>
    <x v="0"/>
    <x v="5"/>
    <x v="5"/>
    <x v="5"/>
    <x v="0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69AD7F-A79D-4E7F-96DB-145AC94DCB0D}" name="DataPivotTable" cacheId="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 chartFormat="1">
  <location ref="B4:F11" firstHeaderRow="1" firstDataRow="2" firstDataCol="2" rowPageCount="2" colPageCount="1"/>
  <pivotFields count="10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3">
        <item x="0"/>
        <item x="1"/>
        <item x="2"/>
      </items>
    </pivotField>
    <pivotField compact="0" showAll="0" defaultSubtotal="0">
      <items count="1">
        <item x="0"/>
      </items>
    </pivotField>
    <pivotField dataField="1" compact="0" showAll="0" defaultSubtotal="0">
      <items count="6">
        <item x="0"/>
        <item x="3"/>
        <item x="1"/>
        <item x="4"/>
        <item x="2"/>
        <item x="5"/>
      </items>
    </pivotField>
    <pivotField dataField="1" compact="0" showAll="0" defaultSubtotal="0">
      <items count="6">
        <item x="0"/>
        <item x="3"/>
        <item x="1"/>
        <item x="4"/>
        <item x="5"/>
        <item x="2"/>
      </items>
    </pivotField>
    <pivotField dataField="1" compact="0" showAll="0" defaultSubtotal="0">
      <items count="6">
        <item x="0"/>
        <item x="1"/>
        <item x="2"/>
        <item x="3"/>
        <item x="4"/>
        <item x="5"/>
      </items>
    </pivotField>
    <pivotField compact="0" showAll="0" defaultSubtotal="0">
      <items count="1">
        <item x="0"/>
      </items>
    </pivotField>
    <pivotField axis="axisPage" compact="0" showAll="0" defaultSubtotal="0">
      <items count="2">
        <item x="0"/>
        <item x="1"/>
      </items>
    </pivotField>
    <pivotField axis="axisPage" compact="0" showAll="0" defaultSubtotal="0">
      <items count="1">
        <item x="0"/>
      </items>
    </pivotField>
    <pivotField compact="0" showAll="0" defaultSubtotal="0">
      <items count="1">
        <item x="0"/>
      </items>
    </pivotField>
  </pivotFields>
  <rowFields count="2">
    <field x="0"/>
    <field x="1"/>
  </rowFields>
  <rowItems count="6">
    <i>
      <x/>
    </i>
    <i r="1">
      <x/>
    </i>
    <i>
      <x v="1"/>
    </i>
    <i r="1">
      <x v="1"/>
    </i>
    <i>
      <x v="2"/>
    </i>
    <i r="1">
      <x v="2"/>
    </i>
  </rowItems>
  <colFields count="1">
    <field x="-2"/>
  </colFields>
  <colItems count="3">
    <i>
      <x/>
    </i>
    <i i="1">
      <x v="1"/>
    </i>
    <i i="2">
      <x v="2"/>
    </i>
  </colItems>
  <pageFields count="2">
    <pageField fld="7" item="1" hier="-1"/>
    <pageField fld="8" hier="-1"/>
  </pageFields>
  <dataFields count="3">
    <dataField name="Average of Idd_leak[mA]" fld="3" subtotal="average" baseField="0" baseItem="0"/>
    <dataField name="Average of Idd18_leak[mA]" fld="4" subtotal="average" baseField="0" baseItem="0"/>
    <dataField name="Average of IddIO_leak[mA]" fld="5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B5B30-1EAF-4CD7-A52A-72395ABF05CB}">
  <sheetPr codeName="Sheet1"/>
  <dimension ref="B1:F11"/>
  <sheetViews>
    <sheetView workbookViewId="0">
      <selection activeCell="F18" sqref="F18"/>
    </sheetView>
  </sheetViews>
  <sheetFormatPr defaultRowHeight="14.4" x14ac:dyDescent="0.3"/>
  <cols>
    <col min="2" max="2" width="13.109375" bestFit="1" customWidth="1"/>
    <col min="3" max="3" width="8.88671875" bestFit="1" customWidth="1"/>
    <col min="4" max="4" width="23.44140625" bestFit="1" customWidth="1"/>
    <col min="5" max="6" width="25.5546875" bestFit="1" customWidth="1"/>
  </cols>
  <sheetData>
    <row r="1" spans="2:6" x14ac:dyDescent="0.3">
      <c r="B1" s="1" t="s">
        <v>2</v>
      </c>
      <c r="C1" t="s">
        <v>9</v>
      </c>
    </row>
    <row r="2" spans="2:6" x14ac:dyDescent="0.3">
      <c r="B2" s="1" t="s">
        <v>3</v>
      </c>
      <c r="C2" t="s">
        <v>5</v>
      </c>
    </row>
    <row r="4" spans="2:6" x14ac:dyDescent="0.3">
      <c r="D4" s="1" t="s">
        <v>4</v>
      </c>
    </row>
    <row r="5" spans="2:6" x14ac:dyDescent="0.3">
      <c r="B5" s="1" t="s">
        <v>0</v>
      </c>
      <c r="C5" s="1" t="s">
        <v>1</v>
      </c>
      <c r="D5" t="s">
        <v>6</v>
      </c>
      <c r="E5" t="s">
        <v>7</v>
      </c>
      <c r="F5" t="s">
        <v>8</v>
      </c>
    </row>
    <row r="6" spans="2:6" x14ac:dyDescent="0.3">
      <c r="B6">
        <v>0.72</v>
      </c>
    </row>
    <row r="7" spans="2:6" x14ac:dyDescent="0.3">
      <c r="C7">
        <v>1.62</v>
      </c>
      <c r="D7">
        <v>-0.33793800000000002</v>
      </c>
      <c r="E7">
        <v>-0.30649999999999999</v>
      </c>
      <c r="F7">
        <v>0.53737500000000005</v>
      </c>
    </row>
    <row r="8" spans="2:6" x14ac:dyDescent="0.3">
      <c r="B8">
        <v>0.8</v>
      </c>
    </row>
    <row r="9" spans="2:6" x14ac:dyDescent="0.3">
      <c r="C9">
        <v>1.8</v>
      </c>
      <c r="D9">
        <v>-0.33118799999999998</v>
      </c>
      <c r="E9">
        <v>-0.26368799999999998</v>
      </c>
      <c r="F9">
        <v>0.59050000000000002</v>
      </c>
    </row>
    <row r="10" spans="2:6" x14ac:dyDescent="0.3">
      <c r="B10">
        <v>0.88</v>
      </c>
    </row>
    <row r="11" spans="2:6" x14ac:dyDescent="0.3">
      <c r="C11">
        <v>1.98</v>
      </c>
      <c r="D11">
        <v>-0.32318799999999998</v>
      </c>
      <c r="E11">
        <v>-0.16181300000000001</v>
      </c>
      <c r="F11">
        <v>0.604437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workbookViewId="0">
      <selection activeCell="D30" sqref="D30:D31"/>
    </sheetView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CDF372945F8ED4AB6DE8DDF1E32F41F" ma:contentTypeVersion="17" ma:contentTypeDescription="Create a new document." ma:contentTypeScope="" ma:versionID="2b1b4cfacac20d4b933632b7dda5d7ec">
  <xsd:schema xmlns:xsd="http://www.w3.org/2001/XMLSchema" xmlns:xs="http://www.w3.org/2001/XMLSchema" xmlns:p="http://schemas.microsoft.com/office/2006/metadata/properties" xmlns:ns2="93e3c3f8-0f3c-4363-ac49-9a98359c2ed1" xmlns:ns3="f39a40e5-79f8-4a37-b76c-45a69429ef44" targetNamespace="http://schemas.microsoft.com/office/2006/metadata/properties" ma:root="true" ma:fieldsID="824ebec2d74ab20831ce36d10c6fa0e4" ns2:_="" ns3:_="">
    <xsd:import namespace="93e3c3f8-0f3c-4363-ac49-9a98359c2ed1"/>
    <xsd:import namespace="f39a40e5-79f8-4a37-b76c-45a69429ef4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e3c3f8-0f3c-4363-ac49-9a98359c2e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b046998b-818b-4251-92cb-85fced4fa3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9a40e5-79f8-4a37-b76c-45a69429ef44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fe4009e8-3d6a-4bc2-a850-368f70cf5496}" ma:internalName="TaxCatchAll" ma:showField="CatchAllData" ma:web="f39a40e5-79f8-4a37-b76c-45a69429ef4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3e3c3f8-0f3c-4363-ac49-9a98359c2ed1">
      <Terms xmlns="http://schemas.microsoft.com/office/infopath/2007/PartnerControls"/>
    </lcf76f155ced4ddcb4097134ff3c332f>
    <TaxCatchAll xmlns="f39a40e5-79f8-4a37-b76c-45a69429ef44" xsi:nil="true"/>
  </documentManagement>
</p:properties>
</file>

<file path=customXml/itemProps1.xml><?xml version="1.0" encoding="utf-8"?>
<ds:datastoreItem xmlns:ds="http://schemas.openxmlformats.org/officeDocument/2006/customXml" ds:itemID="{0B9685B8-9324-46DC-B2D4-D385E9917B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e3c3f8-0f3c-4363-ac49-9a98359c2ed1"/>
    <ds:schemaRef ds:uri="f39a40e5-79f8-4a37-b76c-45a69429ef4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46AAE0A-6748-4815-B14A-13111333111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511660-A421-433F-88E3-C0E024691A71}">
  <ds:schemaRefs>
    <ds:schemaRef ds:uri="http://schemas.microsoft.com/office/2006/metadata/properties"/>
    <ds:schemaRef ds:uri="http://schemas.microsoft.com/office/infopath/2007/PartnerControls"/>
    <ds:schemaRef ds:uri="93e3c3f8-0f3c-4363-ac49-9a98359c2ed1"/>
    <ds:schemaRef ds:uri="f39a40e5-79f8-4a37-b76c-45a69429ef4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Jong Shin</cp:lastModifiedBy>
  <dcterms:created xsi:type="dcterms:W3CDTF">2015-06-05T18:17:20Z</dcterms:created>
  <dcterms:modified xsi:type="dcterms:W3CDTF">2024-02-23T18:36:13Z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0x010100DCDF372945F8ED4AB6DE8DDF1E32F41F</vt:lpwstr>
  </property>
</Properties>
</file>