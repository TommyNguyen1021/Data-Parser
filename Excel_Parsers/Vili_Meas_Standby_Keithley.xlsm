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57C90A76-254F-4037-A68A-D36CD6CC8E1E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5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17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<sst xmlns="http://schemas.openxmlformats.org/spreadsheetml/2006/main" count="10" uniqueCount="10">
  <si>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</si>
  <si>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</si>
  <si>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</si>
  <si>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</si>
  <si>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Q0128</t>
  </si>
  <si>
    <t>Average of Idd Standby</t>
  </si>
  <si>
    <t>Values</t>
  </si>
  <si>
    <t>Average of Idd18 Standby</t>
  </si>
  <si>
    <t>Average of IddIO Standby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</si>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</sst>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[Vili_Meas_Standby_Keithley.xlsm]Pivot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Standby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Table'!$E$3:$E$4</c:f>
              <c:strCache>
                <c:ptCount val="1"/>
                <c:pt idx="0">
                  <c:v>Average of Idd Standby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Table'!$E$5:$E$17</c:f>
              <c:numCache>
                <c:formatCode>General</c:formatCode>
                <c:ptCount val="9"/>
                <c:pt idx="0">
                  <c:v>3.31923236999999E-5</c:v>
                </c:pt>
                <c:pt idx="1">
                  <c:v>3.1888954399999898E-5</c:v>
                </c:pt>
                <c:pt idx="2">
                  <c:v>2.5708504299999999E-5</c:v>
                </c:pt>
                <c:pt idx="3">
                  <c:v>3.9630688300000002E-5</c:v>
                </c:pt>
                <c:pt idx="4">
                  <c:v>3.9209283799999997E-5</c:v>
                </c:pt>
                <c:pt idx="5">
                  <c:v>3.5870836999999997E-5</c:v>
                </c:pt>
                <c:pt idx="6">
                  <c:v>5.1153153799999899E-5</c:v>
                </c:pt>
                <c:pt idx="7">
                  <c:v>5.1133288599999997E-5</c:v>
                </c:pt>
                <c:pt idx="8">
                  <c:v>4.9608340899999903E-5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8-4093-AD29-E6E3D2ED60FC}"/>
            </c:ext>
          </c:extLst>
        </c:ser>
        <c:ser>
          <c:idx val="1"/>
          <c:order val="1"/>
          <c:tx>
            <c:strRef>
              <c:f>'Pivot Table'!$F$3:$F$4</c:f>
              <c:strCache>
                <c:ptCount val="1"/>
                <c:pt idx="0">
                  <c:v>Average of Idd18 Standby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Table'!$F$5:$F$17</c:f>
              <c:numCache>
                <c:formatCode>General</c:formatCode>
                <c:ptCount val="9"/>
                <c:pt idx="0">
                  <c:v>1.3204070499999899E-4</c:v>
                </c:pt>
                <c:pt idx="1">
                  <c:v>2.4315866399999899E-4</c:v>
                </c:pt>
                <c:pt idx="2">
                  <c:v>4.1206241999999999E-4</c:v>
                </c:pt>
                <c:pt idx="3">
                  <c:v>1.02262697999999E-4</c:v>
                </c:pt>
                <c:pt idx="4">
                  <c:v>2.01170427E-4</c:v>
                </c:pt>
                <c:pt idx="5">
                  <c:v>3.5678483399999902E-4</c:v>
                </c:pt>
                <c:pt idx="6">
                  <c:v>7.7610160299999996E-5</c:v>
                </c:pt>
                <c:pt idx="7">
                  <c:v>1.6459396299999999E-4</c:v>
                </c:pt>
                <c:pt idx="8">
                  <c:v>3.0753599999999899E-4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B8-4093-AD29-E6E3D2ED60FC}"/>
            </c:ext>
          </c:extLst>
        </c:ser>
        <c:ser>
          <c:idx val="2"/>
          <c:order val="2"/>
          <c:tx>
            <c:strRef>
              <c:f>'Pivot Table'!$G$3:$G$4</c:f>
              <c:strCache>
                <c:ptCount val="1"/>
                <c:pt idx="0">
                  <c:v>Average of IddIO Standby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Table'!$G$5:$G$17</c:f>
              <c:numCache>
                <c:formatCode>General</c:formatCode>
                <c:ptCount val="9"/>
                <c:pt idx="0">
                  <c:v>8.9135755100000003E-4</c:v>
                </c:pt>
                <c:pt idx="1">
                  <c:v>8.9295391499999899E-4</c:v>
                </c:pt>
                <c:pt idx="2">
                  <c:v>8.9356266000000005E-4</c:v>
                </c:pt>
                <c:pt idx="3">
                  <c:v>9.4398359499999905E-4</c:v>
                </c:pt>
                <c:pt idx="4">
                  <c:v>9.46207656E-4</c:v>
                </c:pt>
                <c:pt idx="5">
                  <c:v>9.4621503899999999E-4</c:v>
                </c:pt>
                <c:pt idx="6">
                  <c:v>9.7817066399999908E-4</c:v>
                </c:pt>
                <c:pt idx="7">
                  <c:v>9.7839432699999896E-4</c:v>
                </c:pt>
                <c:pt idx="8">
                  <c:v>9.7862801100000001E-4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B8-4093-AD29-E6E3D2ED6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9361199"/>
        <c:axId val="1506479935"/>
      </c:lineChart>
      <c:catAx>
        <c:axId val="135936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479935"/>
        <c:crosses val="autoZero"/>
        <c:auto val="1"/>
        <c:lblAlgn val="ctr"/>
        <c:lblOffset val="100"/>
        <c:noMultiLvlLbl val="0"/>
      </c:catAx>
      <c:valAx>
        <c:axId val="150647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36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2</xdr:row>
      <xdr:rowOff>127000</xdr:rowOff>
    </xdr:from>
    <xdr:to>
      <xdr:col>24</xdr:col>
      <xdr:colOff>6350</xdr:colOff>
      <xdr:row>34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6E00B5-66D1-D91A-EF1D-22BD26DC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6.633446180553" createdVersion="3" refreshedVersion="8" minRefreshableVersion="3" recordCount="9" xr:uid="{8F6BD2A1-F1A7-49FC-BF8A-6B22C9DEA087}">
  <cacheSource type="worksheet">
    <worksheetSource ref="A1:M10" sheet="Data"/>
  </cacheSource>
  <cacheFields count="13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1.5" maxValue="1.5" count="1">
        <n v="1.5"/>
      </sharedItems>
    </cacheField>
    <cacheField name="Vdd Meas" numFmtId="0">
      <sharedItems containsSemiMixedTypes="0" containsString="0" containsNumber="1" minValue="0.71969187000000001" maxValue="0.87943914999999995" count="9">
        <n v="0.71973784999999901"/>
        <n v="0.71971414"/>
        <n v="0.71969187000000001"/>
        <n v="0.79935926000000002"/>
        <n v="0.79965643999999902"/>
        <n v="0.79934202999999904"/>
        <n v="0.87943467999999902"/>
        <n v="0.87943914999999995"/>
        <n v="0.87943321999999902"/>
      </sharedItems>
    </cacheField>
    <cacheField name="Idd Standby" numFmtId="11">
      <sharedItems containsSemiMixedTypes="0" containsString="0" containsNumber="1" minValue="2.5708504299999999E-5" maxValue="5.1153153799999899E-5" count="9">
        <n v="3.31923236999999E-5"/>
        <n v="3.1888954399999898E-5"/>
        <n v="2.5708504299999999E-5"/>
        <n v="3.9630688300000002E-5"/>
        <n v="3.9209283799999997E-5"/>
        <n v="3.5870836999999997E-5"/>
        <n v="5.1153153799999899E-5"/>
        <n v="5.1133288599999997E-5"/>
        <n v="4.9608340899999903E-5"/>
      </sharedItems>
    </cacheField>
    <cacheField name="Vdd18 Meas" numFmtId="0">
      <sharedItems containsSemiMixedTypes="0" containsString="0" containsNumber="1" minValue="1.6199207999999901" maxValue="1.9800116000000001" count="9">
        <n v="1.6199338999999999"/>
        <n v="1.8001277"/>
        <n v="1.9800057"/>
        <n v="1.6199817999999999"/>
        <n v="1.8000957"/>
        <n v="1.9800116000000001"/>
        <n v="1.6199207999999901"/>
        <n v="1.8001023"/>
        <n v="1.9800020999999901"/>
      </sharedItems>
    </cacheField>
    <cacheField name="Idd18 Standby" numFmtId="0">
      <sharedItems containsSemiMixedTypes="0" containsString="0" containsNumber="1" minValue="7.7610160299999996E-5" maxValue="4.1206241999999999E-4" count="9">
        <n v="1.3204070499999899E-4"/>
        <n v="2.4315866399999899E-4"/>
        <n v="4.1206241999999999E-4"/>
        <n v="1.02262697999999E-4"/>
        <n v="2.01170427E-4"/>
        <n v="3.5678483399999902E-4"/>
        <n v="7.7610160299999996E-5"/>
        <n v="1.6459396299999999E-4"/>
        <n v="3.0753599999999899E-4"/>
      </sharedItems>
    </cacheField>
    <cacheField name="VddIO Meas" numFmtId="0">
      <sharedItems containsSemiMixedTypes="0" containsString="0" containsNumber="1" minValue="1.5000831999999999" maxValue="1.5001111999999901" count="9">
        <n v="1.5001047000000001"/>
        <n v="1.5000897"/>
        <n v="1.5001111999999901"/>
        <n v="1.50008889999999"/>
        <n v="1.5000872999999999"/>
        <n v="1.5000962"/>
        <n v="1.5000899999999999"/>
        <n v="1.50010839999999"/>
        <n v="1.5000831999999999"/>
      </sharedItems>
    </cacheField>
    <cacheField name="IddIO Standby" numFmtId="0">
      <sharedItems containsSemiMixedTypes="0" containsString="0" containsNumber="1" minValue="8.9135755100000003E-4" maxValue="9.7862801100000001E-4" count="9">
        <n v="8.9135755100000003E-4"/>
        <n v="8.9295391499999899E-4"/>
        <n v="8.9356266000000005E-4"/>
        <n v="9.4398359499999905E-4"/>
        <n v="9.46207656E-4"/>
        <n v="9.4621503899999999E-4"/>
        <n v="9.7817066399999908E-4"/>
        <n v="9.7839432699999896E-4"/>
        <n v="9.7862801100000001E-4"/>
      </sharedItems>
    </cacheField>
    <cacheField name="Lot Bin Wafer" numFmtId="0">
      <sharedItems count="1">
        <s v="P9KT98.AC_a_0"/>
      </sharedItems>
    </cacheField>
    <cacheField name="Part Number" numFmtId="0">
      <sharedItems count="1">
        <s v="Q012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4" maxValue="231204" count="1">
        <n v="23120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0"/>
    <x v="0"/>
    <x v="0"/>
    <x v="0"/>
  </r>
  <r>
    <x v="0"/>
    <x v="2"/>
    <x v="0"/>
    <x v="2"/>
    <x v="2"/>
    <x v="2"/>
    <x v="2"/>
    <x v="2"/>
    <x v="2"/>
    <x v="0"/>
    <x v="0"/>
    <x v="0"/>
    <x v="0"/>
  </r>
  <r>
    <x v="1"/>
    <x v="0"/>
    <x v="0"/>
    <x v="3"/>
    <x v="3"/>
    <x v="3"/>
    <x v="3"/>
    <x v="3"/>
    <x v="3"/>
    <x v="0"/>
    <x v="0"/>
    <x v="0"/>
    <x v="0"/>
  </r>
  <r>
    <x v="1"/>
    <x v="1"/>
    <x v="0"/>
    <x v="4"/>
    <x v="4"/>
    <x v="4"/>
    <x v="4"/>
    <x v="4"/>
    <x v="4"/>
    <x v="0"/>
    <x v="0"/>
    <x v="0"/>
    <x v="0"/>
  </r>
  <r>
    <x v="1"/>
    <x v="2"/>
    <x v="0"/>
    <x v="5"/>
    <x v="5"/>
    <x v="5"/>
    <x v="5"/>
    <x v="5"/>
    <x v="5"/>
    <x v="0"/>
    <x v="0"/>
    <x v="0"/>
    <x v="0"/>
  </r>
  <r>
    <x v="2"/>
    <x v="0"/>
    <x v="0"/>
    <x v="6"/>
    <x v="6"/>
    <x v="6"/>
    <x v="6"/>
    <x v="6"/>
    <x v="6"/>
    <x v="0"/>
    <x v="0"/>
    <x v="0"/>
    <x v="0"/>
  </r>
  <r>
    <x v="2"/>
    <x v="1"/>
    <x v="0"/>
    <x v="7"/>
    <x v="7"/>
    <x v="7"/>
    <x v="7"/>
    <x v="7"/>
    <x v="7"/>
    <x v="0"/>
    <x v="0"/>
    <x v="0"/>
    <x v="0"/>
  </r>
  <r>
    <x v="2"/>
    <x v="2"/>
    <x v="0"/>
    <x v="8"/>
    <x v="8"/>
    <x v="8"/>
    <x v="8"/>
    <x v="8"/>
    <x v="8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89D23B-5C30-4BFC-AF95-C2C378D83BFC}" name="DataPivotTable" cacheId="17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3:G17" firstHeaderRow="1" firstDataRow="2" firstDataCol="3" rowPageCount="1" colPageCount="1"/>
  <pivotFields count="13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compact="0" showAll="0" defaultSubtotal="0">
      <items count="9">
        <item x="2"/>
        <item x="1"/>
        <item x="0"/>
        <item x="5"/>
        <item x="3"/>
        <item x="4"/>
        <item x="8"/>
        <item x="6"/>
        <item x="7"/>
      </items>
    </pivotField>
    <pivotField dataField="1" compact="0" numFmtId="11" showAll="0" defaultSubtotal="0">
      <items count="9">
        <item x="2"/>
        <item x="1"/>
        <item x="0"/>
        <item x="5"/>
        <item x="4"/>
        <item x="3"/>
        <item x="8"/>
        <item x="7"/>
        <item x="6"/>
      </items>
    </pivotField>
    <pivotField compact="0" showAll="0" defaultSubtotal="0">
      <items count="9">
        <item x="6"/>
        <item x="0"/>
        <item x="3"/>
        <item x="4"/>
        <item x="7"/>
        <item x="1"/>
        <item x="8"/>
        <item x="2"/>
        <item x="5"/>
      </items>
    </pivotField>
    <pivotField dataField="1" compact="0" showAll="0" defaultSubtotal="0">
      <items count="9">
        <item x="6"/>
        <item x="3"/>
        <item x="0"/>
        <item x="7"/>
        <item x="4"/>
        <item x="1"/>
        <item x="8"/>
        <item x="5"/>
        <item x="2"/>
      </items>
    </pivotField>
    <pivotField compact="0" showAll="0" defaultSubtotal="0">
      <items count="9">
        <item x="8"/>
        <item x="4"/>
        <item x="3"/>
        <item x="1"/>
        <item x="6"/>
        <item x="5"/>
        <item x="0"/>
        <item x="7"/>
        <item x="2"/>
      </items>
    </pivotField>
    <pivotField dataField="1" compact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10"/>
    <field x="0"/>
    <field x="1"/>
  </rowFields>
  <rowItems count="13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Average of Idd Standby" fld="4" subtotal="average" baseField="0" baseItem="0"/>
    <dataField name="Average of Idd18 Standby" fld="6" subtotal="average" baseField="0" baseItem="0"/>
    <dataField name="Average of IddIO Standby" fld="8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90A85-F732-45D9-8848-42AA5FF93E6D}">
  <sheetPr codeName="Sheet5"/>
  <dimension ref="B1:G17"/>
  <sheetViews>
    <sheetView workbookViewId="0">
      <selection activeCell="F24" sqref="F24"/>
    </sheetView>
  </sheetViews>
  <sheetFormatPr defaultRowHeight="15" x14ac:dyDescent="0.25"/>
  <cols>
    <col min="2" max="2" width="13.140625" bestFit="1" customWidth="1"/>
    <col min="3" max="3" width="21.85546875" bestFit="1" customWidth="1"/>
    <col min="4" max="4" width="8.85546875" bestFit="1" customWidth="1"/>
    <col min="5" max="5" width="21.85546875" bestFit="1" customWidth="1"/>
    <col min="6" max="7" width="23.85546875" bestFit="1" customWidth="1"/>
  </cols>
  <sheetData>
    <row r="1" spans="2:7" x14ac:dyDescent="0.25">
      <c r="B1" s="1" t="s">
        <v>3</v>
      </c>
      <c r="C1" t="s">
        <v>9</v>
      </c>
    </row>
    <row r="3" spans="2:7" x14ac:dyDescent="0.25">
      <c r="E3" s="1" t="s">
        <v>6</v>
      </c>
    </row>
    <row r="4" spans="2:7" x14ac:dyDescent="0.25">
      <c r="B4" s="1" t="s">
        <v>2</v>
      </c>
      <c r="C4" s="1" t="s">
        <v>0</v>
      </c>
      <c r="D4" s="1" t="s">
        <v>1</v>
      </c>
      <c r="E4" t="s">
        <v>5</v>
      </c>
      <c r="F4" t="s">
        <v>7</v>
      </c>
      <c r="G4" t="s">
        <v>8</v>
      </c>
    </row>
    <row r="5" spans="2:7" x14ac:dyDescent="0.25">
      <c r="B5" t="s">
        <v>4</v>
      </c>
    </row>
    <row r="6" spans="2:7" x14ac:dyDescent="0.25">
      <c r="C6">
        <v>0.72</v>
      </c>
    </row>
    <row r="7" spans="2:7" x14ac:dyDescent="0.25">
      <c r="D7">
        <v>1.62</v>
      </c>
      <c r="E7">
        <v>3.31923236999999E-5</v>
      </c>
      <c r="F7">
        <v>1.3204070499999899E-4</v>
      </c>
      <c r="G7">
        <v>8.9135755100000003E-4</v>
      </c>
    </row>
    <row r="8" spans="2:7" x14ac:dyDescent="0.25">
      <c r="D8">
        <v>1.8</v>
      </c>
      <c r="E8">
        <v>3.1888954399999898E-5</v>
      </c>
      <c r="F8">
        <v>2.4315866399999899E-4</v>
      </c>
      <c r="G8">
        <v>8.9295391499999899E-4</v>
      </c>
    </row>
    <row r="9" spans="2:7" x14ac:dyDescent="0.25">
      <c r="D9">
        <v>1.98</v>
      </c>
      <c r="E9">
        <v>2.5708504299999999E-5</v>
      </c>
      <c r="F9">
        <v>4.1206241999999999E-4</v>
      </c>
      <c r="G9">
        <v>8.9356266000000005E-4</v>
      </c>
    </row>
    <row r="10" spans="2:7" x14ac:dyDescent="0.25">
      <c r="C10">
        <v>0.8</v>
      </c>
    </row>
    <row r="11" spans="2:7" x14ac:dyDescent="0.25">
      <c r="D11">
        <v>1.62</v>
      </c>
      <c r="E11">
        <v>3.9630688300000002E-5</v>
      </c>
      <c r="F11">
        <v>1.02262697999999E-4</v>
      </c>
      <c r="G11">
        <v>9.4398359499999905E-4</v>
      </c>
    </row>
    <row r="12" spans="2:7" x14ac:dyDescent="0.25">
      <c r="D12">
        <v>1.8</v>
      </c>
      <c r="E12">
        <v>3.9209283799999997E-5</v>
      </c>
      <c r="F12">
        <v>2.01170427E-4</v>
      </c>
      <c r="G12">
        <v>9.46207656E-4</v>
      </c>
    </row>
    <row r="13" spans="2:7" x14ac:dyDescent="0.25">
      <c r="D13">
        <v>1.98</v>
      </c>
      <c r="E13">
        <v>3.5870836999999997E-5</v>
      </c>
      <c r="F13">
        <v>3.5678483399999902E-4</v>
      </c>
      <c r="G13">
        <v>9.4621503899999999E-4</v>
      </c>
    </row>
    <row r="14" spans="2:7" x14ac:dyDescent="0.25">
      <c r="C14">
        <v>0.88</v>
      </c>
    </row>
    <row r="15" spans="2:7" x14ac:dyDescent="0.25">
      <c r="D15">
        <v>1.62</v>
      </c>
      <c r="E15">
        <v>5.1153153799999899E-5</v>
      </c>
      <c r="F15">
        <v>7.7610160299999996E-5</v>
      </c>
      <c r="G15">
        <v>9.7817066399999908E-4</v>
      </c>
    </row>
    <row r="16" spans="2:7" x14ac:dyDescent="0.25">
      <c r="D16">
        <v>1.8</v>
      </c>
      <c r="E16">
        <v>5.1133288599999997E-5</v>
      </c>
      <c r="F16">
        <v>1.6459396299999999E-4</v>
      </c>
      <c r="G16">
        <v>9.7839432699999896E-4</v>
      </c>
    </row>
    <row r="17" spans="4:7" x14ac:dyDescent="0.25">
      <c r="D17">
        <v>1.98</v>
      </c>
      <c r="E17">
        <v>4.9608340899999903E-5</v>
      </c>
      <c r="F17">
        <v>3.0753599999999899E-4</v>
      </c>
      <c r="G17">
        <v>9.7862801100000001E-4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2023-12-07T19:07:01Z</dcterms:modified>
</cp:coreProperties>
</file>